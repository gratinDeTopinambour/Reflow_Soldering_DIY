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/>
  <mc:AlternateContent xmlns:mc="http://schemas.openxmlformats.org/markup-compatibility/2006">
    <mc:Choice Requires="x15">
      <x15ac:absPath xmlns:x15ac="http://schemas.microsoft.com/office/spreadsheetml/2010/11/ac" url="C:\Users\S0149128\Documents\reflow_oven\electronics\"/>
    </mc:Choice>
  </mc:AlternateContent>
  <xr:revisionPtr revIDLastSave="0" documentId="8_{4862AF60-1A63-471D-80D8-1AC56523E98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8" i="1" l="1"/>
  <c r="J8" i="1"/>
  <c r="L8" i="1" s="1"/>
  <c r="F8" i="1"/>
  <c r="R16" i="1"/>
  <c r="R18" i="1"/>
  <c r="R19" i="1"/>
  <c r="R20" i="1"/>
  <c r="R21" i="1"/>
  <c r="R22" i="1"/>
  <c r="R23" i="1"/>
  <c r="R24" i="1"/>
  <c r="R25" i="1"/>
  <c r="R26" i="1"/>
  <c r="R27" i="1"/>
  <c r="R28" i="1"/>
  <c r="R29" i="1"/>
  <c r="R15" i="1"/>
  <c r="R13" i="1"/>
  <c r="F13" i="1" s="1"/>
  <c r="R11" i="1"/>
  <c r="R3" i="1"/>
  <c r="R4" i="1"/>
  <c r="R5" i="1"/>
  <c r="R6" i="1"/>
  <c r="R7" i="1"/>
  <c r="R2" i="1"/>
  <c r="R41" i="1"/>
  <c r="R42" i="1"/>
  <c r="R44" i="1"/>
  <c r="R38" i="1"/>
  <c r="L18" i="1"/>
  <c r="L19" i="1"/>
  <c r="L20" i="1"/>
  <c r="I44" i="1"/>
  <c r="I17" i="1"/>
  <c r="F14" i="1"/>
  <c r="J15" i="1"/>
  <c r="L15" i="1" s="1"/>
  <c r="P12" i="1"/>
  <c r="R12" i="1" s="1"/>
  <c r="G16" i="1"/>
  <c r="I16" i="1" s="1"/>
  <c r="P17" i="1"/>
  <c r="R17" i="1" s="1"/>
  <c r="N17" i="1"/>
  <c r="O17" i="1" s="1"/>
  <c r="J16" i="1"/>
  <c r="L16" i="1" s="1"/>
  <c r="J17" i="1"/>
  <c r="L17" i="1" s="1"/>
  <c r="M40" i="1"/>
  <c r="P40" i="1"/>
  <c r="R40" i="1" s="1"/>
  <c r="N40" i="1"/>
  <c r="G40" i="1"/>
  <c r="I40" i="1" s="1"/>
  <c r="G43" i="1"/>
  <c r="I43" i="1" s="1"/>
  <c r="G42" i="1"/>
  <c r="I42" i="1" s="1"/>
  <c r="G41" i="1"/>
  <c r="I41" i="1" s="1"/>
  <c r="G39" i="1"/>
  <c r="I39" i="1" s="1"/>
  <c r="G11" i="1"/>
  <c r="I11" i="1" s="1"/>
  <c r="M38" i="1"/>
  <c r="J39" i="1"/>
  <c r="M39" i="1" s="1"/>
  <c r="J2" i="1"/>
  <c r="L2" i="1" s="1"/>
  <c r="J3" i="1"/>
  <c r="L3" i="1" s="1"/>
  <c r="J4" i="1"/>
  <c r="L4" i="1" s="1"/>
  <c r="J5" i="1"/>
  <c r="L5" i="1" s="1"/>
  <c r="J7" i="1"/>
  <c r="L7" i="1" s="1"/>
  <c r="J11" i="1"/>
  <c r="L11" i="1" s="1"/>
  <c r="J22" i="1"/>
  <c r="L22" i="1" s="1"/>
  <c r="J23" i="1"/>
  <c r="L23" i="1" s="1"/>
  <c r="J24" i="1"/>
  <c r="L24" i="1" s="1"/>
  <c r="J25" i="1"/>
  <c r="L25" i="1" s="1"/>
  <c r="J26" i="1"/>
  <c r="L26" i="1" s="1"/>
  <c r="J27" i="1"/>
  <c r="L27" i="1" s="1"/>
  <c r="J21" i="1"/>
  <c r="L21" i="1" s="1"/>
  <c r="J38" i="1"/>
  <c r="L38" i="1" s="1"/>
  <c r="J41" i="1"/>
  <c r="L41" i="1" s="1"/>
  <c r="J42" i="1"/>
  <c r="L42" i="1" s="1"/>
  <c r="J43" i="1"/>
  <c r="L43" i="1" s="1"/>
  <c r="J40" i="1"/>
  <c r="L40" i="1" s="1"/>
  <c r="P39" i="1" l="1"/>
  <c r="R39" i="1" s="1"/>
  <c r="O40" i="1"/>
  <c r="L39" i="1"/>
  <c r="M43" i="1"/>
  <c r="J29" i="1"/>
  <c r="L29" i="1" s="1"/>
  <c r="J28" i="1"/>
  <c r="M27" i="1"/>
  <c r="O27" i="1" s="1"/>
  <c r="M26" i="1"/>
  <c r="O26" i="1" s="1"/>
  <c r="M23" i="1"/>
  <c r="O23" i="1" s="1"/>
  <c r="M24" i="1"/>
  <c r="O24" i="1" s="1"/>
  <c r="M25" i="1"/>
  <c r="O25" i="1" s="1"/>
  <c r="M21" i="1"/>
  <c r="O21" i="1" s="1"/>
  <c r="M22" i="1"/>
  <c r="O22" i="1" s="1"/>
  <c r="M20" i="1"/>
  <c r="O20" i="1" s="1"/>
  <c r="M18" i="1"/>
  <c r="O18" i="1" s="1"/>
  <c r="M19" i="1"/>
  <c r="O19" i="1" s="1"/>
  <c r="N39" i="1"/>
  <c r="O39" i="1" s="1"/>
  <c r="N38" i="1"/>
  <c r="O38" i="1" s="1"/>
  <c r="J6" i="1"/>
  <c r="L6" i="1" s="1"/>
  <c r="F30" i="1"/>
  <c r="F31" i="1"/>
  <c r="F32" i="1"/>
  <c r="F33" i="1"/>
  <c r="F34" i="1"/>
  <c r="F35" i="1"/>
  <c r="F36" i="1"/>
  <c r="F37" i="1"/>
  <c r="F9" i="1"/>
  <c r="F10" i="1"/>
  <c r="F12" i="1"/>
  <c r="P43" i="1" l="1"/>
  <c r="R43" i="1" s="1"/>
  <c r="O43" i="1"/>
  <c r="M28" i="1"/>
  <c r="O28" i="1" s="1"/>
  <c r="L28" i="1"/>
  <c r="F28" i="1" s="1"/>
  <c r="F15" i="1"/>
  <c r="F17" i="1"/>
  <c r="F16" i="1"/>
  <c r="M29" i="1"/>
  <c r="O29" i="1" s="1"/>
  <c r="F24" i="1"/>
  <c r="F23" i="1"/>
  <c r="F27" i="1"/>
  <c r="F40" i="1"/>
  <c r="F4" i="1"/>
  <c r="F38" i="1"/>
  <c r="M11" i="1"/>
  <c r="O11" i="1" s="1"/>
  <c r="F39" i="1"/>
  <c r="F3" i="1"/>
  <c r="F7" i="1"/>
  <c r="F6" i="1"/>
  <c r="F2" i="1"/>
  <c r="F5" i="1"/>
  <c r="F44" i="1"/>
  <c r="F43" i="1"/>
  <c r="F42" i="1"/>
  <c r="F41" i="1"/>
  <c r="F29" i="1"/>
  <c r="F26" i="1"/>
  <c r="F25" i="1"/>
  <c r="F22" i="1"/>
  <c r="F21" i="1"/>
  <c r="F20" i="1"/>
  <c r="F19" i="1"/>
  <c r="F18" i="1"/>
  <c r="F1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Valentin LEFEBVRE - Contractor</author>
  </authors>
  <commentList>
    <comment ref="M17" authorId="0" shapeId="0" xr:uid="{BC3F9CF4-7C9A-4AAE-897A-27AD30F9D56C}">
      <text>
        <r>
          <rPr>
            <b/>
            <sz val="9"/>
            <color indexed="81"/>
            <rFont val="Tahoma"/>
            <charset val="1"/>
          </rPr>
          <t>Valentin LEFEBVRE - Contractor:</t>
        </r>
        <r>
          <rPr>
            <sz val="9"/>
            <color indexed="81"/>
            <rFont val="Tahoma"/>
            <charset val="1"/>
          </rPr>
          <t xml:space="preserve">
Maximum power dissipation vs. On-state RMS current (full cycle)</t>
        </r>
      </text>
    </comment>
    <comment ref="N17" authorId="0" shapeId="0" xr:uid="{7B1B3C64-FC5C-41CB-8453-E6745CE1DBBA}">
      <text>
        <r>
          <rPr>
            <b/>
            <sz val="9"/>
            <color indexed="81"/>
            <rFont val="Tahoma"/>
            <charset val="1"/>
          </rPr>
          <t>Valentin LEFEBVRE - Contractor:</t>
        </r>
        <r>
          <rPr>
            <sz val="9"/>
            <color indexed="81"/>
            <rFont val="Tahoma"/>
            <charset val="1"/>
          </rPr>
          <t xml:space="preserve">
power dissipation with heatsink 2.6°C/W and heatpaste 0.5°C/W</t>
        </r>
      </text>
    </comment>
    <comment ref="M38" authorId="0" shapeId="0" xr:uid="{016712B9-7AB9-4BAC-AB09-5CEB50B550EA}">
      <text>
        <r>
          <rPr>
            <b/>
            <sz val="9"/>
            <color indexed="81"/>
            <rFont val="Tahoma"/>
            <charset val="1"/>
          </rPr>
          <t>Valentin LEFEBVRE - Contractor:</t>
        </r>
        <r>
          <rPr>
            <sz val="9"/>
            <color indexed="81"/>
            <rFont val="Tahoma"/>
            <charset val="1"/>
          </rPr>
          <t xml:space="preserve">
at -40°C TH1 is 3208kohm
at 300°C TH1 is 72ohm
we take into account the worst case on those 2 configuration</t>
        </r>
      </text>
    </comment>
    <comment ref="N38" authorId="0" shapeId="0" xr:uid="{6FED6A82-B002-4298-AC66-72AC7A67D931}">
      <text>
        <r>
          <rPr>
            <b/>
            <sz val="9"/>
            <color indexed="81"/>
            <rFont val="Tahoma"/>
            <charset val="1"/>
          </rPr>
          <t>Valentin LEFEBVRE - Contractor:</t>
        </r>
        <r>
          <rPr>
            <sz val="9"/>
            <color indexed="81"/>
            <rFont val="Tahoma"/>
            <charset val="1"/>
          </rPr>
          <t xml:space="preserve">
dissipation coef * (Tmax - Ta_max)
</t>
        </r>
      </text>
    </comment>
    <comment ref="P38" authorId="0" shapeId="0" xr:uid="{2330A081-28DE-4323-ABE8-A4E23DD7C93C}">
      <text>
        <r>
          <rPr>
            <b/>
            <sz val="9"/>
            <color indexed="81"/>
            <rFont val="Tahoma"/>
            <charset val="1"/>
          </rPr>
          <t>Valentin LEFEBVRE - Contractor:</t>
        </r>
        <r>
          <rPr>
            <sz val="9"/>
            <color indexed="81"/>
            <rFont val="Tahoma"/>
            <charset val="1"/>
          </rPr>
          <t xml:space="preserve">
max oven temperature</t>
        </r>
      </text>
    </comment>
    <comment ref="G40" authorId="0" shapeId="0" xr:uid="{98266C3D-04DF-4187-BA73-8AF9FE3DAB17}">
      <text>
        <r>
          <rPr>
            <b/>
            <sz val="9"/>
            <color indexed="81"/>
            <rFont val="Tahoma"/>
            <charset val="1"/>
          </rPr>
          <t>Valentin LEFEBVRE - Contractor:</t>
        </r>
        <r>
          <rPr>
            <sz val="9"/>
            <color indexed="81"/>
            <rFont val="Tahoma"/>
            <charset val="1"/>
          </rPr>
          <t xml:space="preserve">
peak current 1A
normal current max 100mA
</t>
        </r>
      </text>
    </comment>
    <comment ref="M40" authorId="0" shapeId="0" xr:uid="{349EBFEE-9582-4B21-9967-4F38934AB7BD}">
      <text>
        <r>
          <rPr>
            <b/>
            <sz val="9"/>
            <color indexed="81"/>
            <rFont val="Tahoma"/>
            <charset val="1"/>
          </rPr>
          <t>Valentin LEFEBVRE - Contractor:</t>
        </r>
        <r>
          <rPr>
            <sz val="9"/>
            <color indexed="81"/>
            <rFont val="Tahoma"/>
            <charset val="1"/>
          </rPr>
          <t xml:space="preserve">
from fig6 onstate caracteristique
for Itm = 0.025A
Vtm = 1.8V
</t>
        </r>
      </text>
    </comment>
    <comment ref="G41" authorId="0" shapeId="0" xr:uid="{9273F8AD-B711-4565-88C2-E9E60C20205D}">
      <text>
        <r>
          <rPr>
            <b/>
            <sz val="9"/>
            <color indexed="81"/>
            <rFont val="Tahoma"/>
            <charset val="1"/>
          </rPr>
          <t>Valentin LEFEBVRE - Contractor:</t>
        </r>
        <r>
          <rPr>
            <sz val="9"/>
            <color indexed="81"/>
            <rFont val="Tahoma"/>
            <charset val="1"/>
          </rPr>
          <t xml:space="preserve">
3 led with 150ohm resistor (3.3/150) absolut max</t>
        </r>
      </text>
    </comment>
    <comment ref="G43" authorId="0" shapeId="0" xr:uid="{3F9373ED-2568-4530-ACCD-7DE7FBDEA9FD}">
      <text>
        <r>
          <rPr>
            <b/>
            <sz val="9"/>
            <color indexed="81"/>
            <rFont val="Tahoma"/>
            <charset val="1"/>
          </rPr>
          <t>Valentin LEFEBVRE - Contractor:</t>
        </r>
        <r>
          <rPr>
            <sz val="9"/>
            <color indexed="81"/>
            <rFont val="Tahoma"/>
            <charset val="1"/>
          </rPr>
          <t xml:space="preserve">
STM32 Amax: 0.1A
oled display: 0.03A
power_led: 3.3V/150ohm
nrst/boot: 3.3V/10kohm
temp: 3.3V/(1,8k+72ohm)
-&gt; 72ohm is thermistance value at 300°C</t>
        </r>
      </text>
    </comment>
  </commentList>
</comments>
</file>

<file path=xl/sharedStrings.xml><?xml version="1.0" encoding="utf-8"?>
<sst xmlns="http://schemas.openxmlformats.org/spreadsheetml/2006/main" count="210" uniqueCount="141">
  <si>
    <t>Reference</t>
  </si>
  <si>
    <t>Value</t>
  </si>
  <si>
    <t>Footprint</t>
  </si>
  <si>
    <t>part</t>
  </si>
  <si>
    <t>datasheet</t>
  </si>
  <si>
    <t>Valid</t>
  </si>
  <si>
    <t>Current (A)</t>
  </si>
  <si>
    <t>Max Current (A)</t>
  </si>
  <si>
    <t>Current_valid</t>
  </si>
  <si>
    <t>Voltage (V)</t>
  </si>
  <si>
    <t>Max Voltage (V)</t>
  </si>
  <si>
    <t>Voltage_Valid</t>
  </si>
  <si>
    <t>Power (W)</t>
  </si>
  <si>
    <t>Max Power (W)</t>
  </si>
  <si>
    <t>Power_valid</t>
  </si>
  <si>
    <t>Temperature</t>
  </si>
  <si>
    <t>Max temperature</t>
  </si>
  <si>
    <t>Temp_valid</t>
  </si>
  <si>
    <t>C1</t>
  </si>
  <si>
    <t>100nF</t>
  </si>
  <si>
    <t>Capacitor_SMD:C_0805_2012Metric_Pad1.18x1.45mm_HandSolder</t>
  </si>
  <si>
    <t>C0805C104K5RACTU</t>
  </si>
  <si>
    <t>KEM_C1002_X7R_SMD.pdf</t>
  </si>
  <si>
    <t>C2</t>
  </si>
  <si>
    <t>C3</t>
  </si>
  <si>
    <t>C4</t>
  </si>
  <si>
    <t>4.7uF</t>
  </si>
  <si>
    <t>C0805C475K3RACTU</t>
  </si>
  <si>
    <t>C5</t>
  </si>
  <si>
    <t>10uF</t>
  </si>
  <si>
    <t>C0805C106K3PACTU</t>
  </si>
  <si>
    <t>KEM_C1006_X5R_SMD.pdf</t>
  </si>
  <si>
    <t>C6</t>
  </si>
  <si>
    <t>C7</t>
  </si>
  <si>
    <t>D1</t>
  </si>
  <si>
    <t>RED_LED</t>
  </si>
  <si>
    <t>LED_THT:LED_D5.0mm</t>
  </si>
  <si>
    <t>D2</t>
  </si>
  <si>
    <t>GREEN_LED</t>
  </si>
  <si>
    <t>D3</t>
  </si>
  <si>
    <t>POWER_LED</t>
  </si>
  <si>
    <t>LED_SMD:LED_1206_3216Metric_Pad1.42x1.75mm_HandSolder</t>
  </si>
  <si>
    <t>QTLP650C4TR/FC15-21SYGC/S530-E2/TR8</t>
  </si>
  <si>
    <t>DSE-0031723-QTLP650C4TR-FC15-21SYGC-S530-E2-TR8 -V1.pdf</t>
  </si>
  <si>
    <t>HS1</t>
  </si>
  <si>
    <t>HEAT_SINK</t>
  </si>
  <si>
    <t>530002B02500G</t>
  </si>
  <si>
    <t>Boyd-Board-Level-Heatsinks-Catalog.pdf</t>
  </si>
  <si>
    <t>HP</t>
  </si>
  <si>
    <t>HEAT_PASTE</t>
  </si>
  <si>
    <t>-</t>
  </si>
  <si>
    <t>TC3-1G</t>
  </si>
  <si>
    <t>TC3-1G.pdf</t>
  </si>
  <si>
    <t>J1</t>
  </si>
  <si>
    <t>Conn_01x04_Pin</t>
  </si>
  <si>
    <t>Connector_PinHeader_2.54mm:PinHeader_1x04_P2.54mm_Vertical</t>
  </si>
  <si>
    <t>J2</t>
  </si>
  <si>
    <t>OLED_Display</t>
  </si>
  <si>
    <t>oled display ruizhi 0.96</t>
  </si>
  <si>
    <t>OLED_096.pdf</t>
  </si>
  <si>
    <t>J3</t>
  </si>
  <si>
    <t>USB_C_Receptacle_PowerOnly_6P</t>
  </si>
  <si>
    <t>Connector_USB:USB_C_Receptacle_GCT_USB4125-xx-x-0190_6P_TopMnt_Horizontal</t>
  </si>
  <si>
    <t>USB4125-GF-A</t>
  </si>
  <si>
    <t>usb4125-spec.pdf</t>
  </si>
  <si>
    <t>Q1</t>
  </si>
  <si>
    <t>BTA16-600CW</t>
  </si>
  <si>
    <t>Package_TO_SOT_THT:TO-220-3_Vertical</t>
  </si>
  <si>
    <t>BTA16-600CWRG</t>
  </si>
  <si>
    <t>bta16.pdf</t>
  </si>
  <si>
    <t>R1</t>
  </si>
  <si>
    <t>1100ohm</t>
  </si>
  <si>
    <t>Resistor_THT:R_Axial_DIN0309_L9.0mm_D3.2mm_P12.70mm_Horizontal</t>
  </si>
  <si>
    <t>CFR-50JB-52-1K1</t>
  </si>
  <si>
    <t>YAGEO-CFR_DATASHEET.pdf</t>
  </si>
  <si>
    <t>R2</t>
  </si>
  <si>
    <t>R3</t>
  </si>
  <si>
    <t>R4</t>
  </si>
  <si>
    <t>1800ohm</t>
  </si>
  <si>
    <t>Resistor_SMD:R_0805_2012Metric_Pad1.20x1.40mm_HandSolder</t>
  </si>
  <si>
    <t>ERA-6AEB182V</t>
  </si>
  <si>
    <t>R1800_panasonic.pdf</t>
  </si>
  <si>
    <t>R5</t>
  </si>
  <si>
    <t>150ohm</t>
  </si>
  <si>
    <t>CRCW0805150RFKEA</t>
  </si>
  <si>
    <t>resistor_vishay.pdf</t>
  </si>
  <si>
    <t>R6</t>
  </si>
  <si>
    <t>R7</t>
  </si>
  <si>
    <t>R12</t>
  </si>
  <si>
    <t>R8</t>
  </si>
  <si>
    <t>10kohm</t>
  </si>
  <si>
    <t>CRCW080510K0FKEA</t>
  </si>
  <si>
    <t>R9</t>
  </si>
  <si>
    <t>R10</t>
  </si>
  <si>
    <t>5.1kohm</t>
  </si>
  <si>
    <t>CRCW08055K10FKEA</t>
  </si>
  <si>
    <t>R11</t>
  </si>
  <si>
    <t>SW1</t>
  </si>
  <si>
    <t>Button_Switch_THT:SW_PUSH_6mm_H5mm</t>
  </si>
  <si>
    <t>SW2</t>
  </si>
  <si>
    <t>Up</t>
  </si>
  <si>
    <t>SW3</t>
  </si>
  <si>
    <t>Down</t>
  </si>
  <si>
    <t>SW4</t>
  </si>
  <si>
    <t>Left</t>
  </si>
  <si>
    <t>SW5</t>
  </si>
  <si>
    <t>Right</t>
  </si>
  <si>
    <t>SW6</t>
  </si>
  <si>
    <t>return</t>
  </si>
  <si>
    <t>SW7</t>
  </si>
  <si>
    <t>NRST</t>
  </si>
  <si>
    <t>SW8</t>
  </si>
  <si>
    <t>BOOT0</t>
  </si>
  <si>
    <t>TH1</t>
  </si>
  <si>
    <t>Thermistor_NTC</t>
  </si>
  <si>
    <t>Resistor_THT:R_Axial_DIN0204_L3.6mm_D1.6mm_P2.54mm_Vertical</t>
  </si>
  <si>
    <t>NRBG105F3950B1F</t>
  </si>
  <si>
    <t>eaton-nrbg-glass-sealed-radial-lead-ntc-thermistor-datasheet-elx1105-en.pdf</t>
  </si>
  <si>
    <t>U1_emitter</t>
  </si>
  <si>
    <t>MOC3063M</t>
  </si>
  <si>
    <t>Package_DIP:DIP-6_W7.62mm_LongPads</t>
  </si>
  <si>
    <t>MOC3163M-D.pdf</t>
  </si>
  <si>
    <t>U1_detector</t>
  </si>
  <si>
    <t>U2</t>
  </si>
  <si>
    <t>STM32C011F6Px</t>
  </si>
  <si>
    <t>Package_SO:TSSOP-20_4.4x6.5mm_P0.65mm</t>
  </si>
  <si>
    <t>STM32C011F6P6</t>
  </si>
  <si>
    <t>stm32c011f6.pdf</t>
  </si>
  <si>
    <t>STM32C031F6Px</t>
  </si>
  <si>
    <t>STM32C031F6P6</t>
  </si>
  <si>
    <t>stm32c031f6.pdf</t>
  </si>
  <si>
    <t>U4</t>
  </si>
  <si>
    <t>LD1117S33TR_SOT223</t>
  </si>
  <si>
    <t>Package_TO_SOT_SMD:SOT-223-3_TabPin2</t>
  </si>
  <si>
    <t>LD1117S33TR</t>
  </si>
  <si>
    <t>LD1117.pdf</t>
  </si>
  <si>
    <t>Vdr1</t>
  </si>
  <si>
    <t>S14K230</t>
  </si>
  <si>
    <t>Varistor:RV_Disc_D15.5mm_W7.5mm_P7.5mm</t>
  </si>
  <si>
    <t>B72214S0231K101</t>
  </si>
  <si>
    <t>SIOV_Leaded_StandarD.pdf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</si>
</sst>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NumberFormat="1" applyFill="1" applyAlignment="1">
      <alignment horizontal="center"/>
    </xf>
  </cellXfs>
  <cellStyles count="1">
    <cellStyle name="Normal" xfId="0" builtinId="0"/>
  </cellStyles>
  <dxfs count="15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0" formatCode="General"/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0" formatCode="General"/>
      <alignment horizontal="center"/>
    </dxf>
    <dxf>
      <alignment horizontal="center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3C7EDB-74A7-486B-BD70-F8830EC29E7B}" name="Tableau1" displayName="Tableau1" ref="A1:R44" totalsRowShown="0">
  <autoFilter ref="A1:R44" xr:uid="{5B3C7EDB-74A7-486B-BD70-F8830EC29E7B}"/>
  <tableColumns count="18">
    <tableColumn id="1" xr3:uid="{C770BCD5-EE2C-451C-A08B-DF6391DC9BDD}" name="Reference"/>
    <tableColumn id="2" xr3:uid="{3CE6D159-4DBD-4FBC-8AE6-386EE2851856}" name="Value"/>
    <tableColumn id="3" xr3:uid="{06E793FA-BA20-4C5E-8F80-C2EF5FE5177B}" name="Footprint"/>
    <tableColumn id="4" xr3:uid="{483A4DA5-837B-4FE9-B43C-BDEC1194BB44}" name="part"/>
    <tableColumn id="22" xr3:uid="{CD0E5CEA-399E-4978-BF1F-556055207F59}" name="datasheet"/>
    <tableColumn id="5" xr3:uid="{054A5256-12A4-436C-AE80-BCCEB3219EEB}" name="Valid" dataDxfId="12">
      <calculatedColumnFormula>IF(AND(I2="OK",L2="OK",O2="OK",R2="OK"),"OK","KO")</calculatedColumnFormula>
    </tableColumn>
    <tableColumn id="7" xr3:uid="{59B76285-15E2-4307-B6C6-B680E2790456}" name="Current (A)" dataDxfId="11">
      <calculatedColumnFormula>(3.3*1.05 - 1.7)/(110*0.99)</calculatedColumnFormula>
    </tableColumn>
    <tableColumn id="8" xr3:uid="{3E61A11C-3022-44B5-9EE7-222FEFA539A2}" name="Max Current (A)" dataDxfId="10"/>
    <tableColumn id="9" xr3:uid="{4ED6F584-5713-4B90-8089-240BD3918657}" name="Current_valid" dataDxfId="9">
      <calculatedColumnFormula>IF(OR(G2="",H2=""),"KO",IF(G2&lt;(H2*#REF!),"OK","KO"))</calculatedColumnFormula>
    </tableColumn>
    <tableColumn id="11" xr3:uid="{0875E5A2-0BF2-45DF-965B-23C4487AF6E5}" name="Voltage (V)" dataDxfId="8"/>
    <tableColumn id="12" xr3:uid="{403D8F8F-738A-41E1-8DA3-03AA720D0759}" name="Max Voltage (V)" dataDxfId="7"/>
    <tableColumn id="13" xr3:uid="{EB22319B-B1EC-48F3-A9D6-73F4AD8F191F}" name="Voltage_Valid" dataDxfId="6">
      <calculatedColumnFormula>IF(OR(J2="",K2=""),"KO",IF(J2&lt;(K2*#REF!),"OK","KO"))</calculatedColumnFormula>
    </tableColumn>
    <tableColumn id="15" xr3:uid="{DFF383E3-0C80-4608-8E7A-2BE1BA947933}" name="Power (W)" dataDxfId="5">
      <calculatedColumnFormula>Tableau1[[#This Row],[Voltage (V)]]*Tableau1[[#This Row],[Current (A)]]</calculatedColumnFormula>
    </tableColumn>
    <tableColumn id="16" xr3:uid="{B68B9119-2FB3-4C9F-A927-1B33E72F3171}" name="Max Power (W)" dataDxfId="4"/>
    <tableColumn id="17" xr3:uid="{4A834094-ED25-463F-9FFB-1DA66A13294A}" name="Power_valid" dataDxfId="3">
      <calculatedColumnFormula>IF(OR(M2="",N2=""),"KO",IF(M2&lt;(N2*#REF!),"OK","KO"))</calculatedColumnFormula>
    </tableColumn>
    <tableColumn id="19" xr3:uid="{D8A2F795-1CBE-4C33-AD35-636873CB006C}" name="Temperature" dataDxfId="2"/>
    <tableColumn id="20" xr3:uid="{078F05B0-9A3F-45E5-A6F2-4360E626F6AF}" name="Max temperature" dataDxfId="1"/>
    <tableColumn id="21" xr3:uid="{4533E791-CECA-4065-BBF6-6249E73C7FE0}" name="Temp_valid" dataDxfId="0">
      <calculatedColumnFormula>IF(OR(P2="",Q2=""),"KO",IF(P2&lt;(Q2*#REF!),"OK","KO"))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4"/>
  <sheetViews>
    <sheetView tabSelected="1" zoomScale="70" zoomScaleNormal="70" workbookViewId="0">
      <pane xSplit="2" ySplit="1" topLeftCell="I2" activePane="bottomRight" state="frozen"/>
      <selection pane="bottomRight" activeCell="Q8" sqref="Q8"/>
      <selection pane="bottomLeft"/>
      <selection pane="topRight"/>
    </sheetView>
  </sheetViews>
  <sheetFormatPr defaultColWidth="8.7109375" defaultRowHeight="14.1"/>
  <cols>
    <col min="1" max="1" width="12.28515625" bestFit="1" customWidth="1"/>
    <col min="2" max="2" width="30.5703125" bestFit="1" customWidth="1"/>
    <col min="3" max="3" width="73.85546875" bestFit="1" customWidth="1"/>
    <col min="4" max="4" width="22.85546875" customWidth="1"/>
    <col min="5" max="5" width="34.42578125" customWidth="1"/>
    <col min="6" max="6" width="11.7109375" bestFit="1" customWidth="1"/>
    <col min="7" max="7" width="13.7109375" bestFit="1" customWidth="1"/>
    <col min="8" max="8" width="16.85546875" bestFit="1" customWidth="1"/>
    <col min="9" max="9" width="14.140625" customWidth="1"/>
    <col min="10" max="10" width="12.85546875" bestFit="1" customWidth="1"/>
    <col min="11" max="11" width="16.7109375" bestFit="1" customWidth="1"/>
    <col min="12" max="12" width="14" customWidth="1"/>
    <col min="13" max="13" width="12.85546875" bestFit="1" customWidth="1"/>
    <col min="14" max="14" width="16.140625" bestFit="1" customWidth="1"/>
    <col min="15" max="15" width="13.85546875" bestFit="1" customWidth="1"/>
    <col min="16" max="16" width="14.5703125" bestFit="1" customWidth="1"/>
    <col min="17" max="17" width="18.28515625" bestFit="1" customWidth="1"/>
    <col min="18" max="18" width="13.140625" bestFit="1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9</v>
      </c>
      <c r="K1" t="s">
        <v>10</v>
      </c>
      <c r="L1" s="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s="2" t="str">
        <f>IF(OR(I2="KO",L2="KO",O2="KO",R2="KO"),"KO","OK")</f>
        <v>OK</v>
      </c>
      <c r="G2" s="4"/>
      <c r="H2" s="4"/>
      <c r="I2" s="4"/>
      <c r="J2" s="2">
        <f t="shared" ref="J2:J4" si="0">3.365</f>
        <v>3.3650000000000002</v>
      </c>
      <c r="K2" s="2">
        <v>50</v>
      </c>
      <c r="L2" s="2" t="str">
        <f>IF(OR(J2="",K2=""),"KO",IF(J2&lt;K2,"OK","KO"))</f>
        <v>OK</v>
      </c>
      <c r="M2" s="4"/>
      <c r="N2" s="4"/>
      <c r="O2" s="4"/>
      <c r="P2" s="2">
        <v>50</v>
      </c>
      <c r="Q2" s="2">
        <v>125</v>
      </c>
      <c r="R2" s="2" t="str">
        <f>IF(OR(P2="",Q2=""),"KO",IF(P2&lt;Q2,"OK","KO"))</f>
        <v>OK</v>
      </c>
    </row>
    <row r="3" spans="1:18">
      <c r="A3" t="s">
        <v>23</v>
      </c>
      <c r="B3" t="s">
        <v>19</v>
      </c>
      <c r="C3" t="s">
        <v>20</v>
      </c>
      <c r="D3" t="s">
        <v>21</v>
      </c>
      <c r="E3" t="s">
        <v>22</v>
      </c>
      <c r="F3" s="2" t="str">
        <f>IF(OR(I3="KO",L3="KO",O3="KO",R3="KO"),"KO","OK")</f>
        <v>OK</v>
      </c>
      <c r="G3" s="4"/>
      <c r="H3" s="4"/>
      <c r="I3" s="4"/>
      <c r="J3" s="2">
        <f t="shared" si="0"/>
        <v>3.3650000000000002</v>
      </c>
      <c r="K3" s="2">
        <v>50</v>
      </c>
      <c r="L3" s="2" t="str">
        <f t="shared" ref="L3:L7" si="1">IF(OR(J3="",K3=""),"KO",IF(J3&lt;K3,"OK","KO"))</f>
        <v>OK</v>
      </c>
      <c r="M3" s="4"/>
      <c r="N3" s="4"/>
      <c r="O3" s="4"/>
      <c r="P3" s="2">
        <v>50</v>
      </c>
      <c r="Q3" s="2">
        <v>125</v>
      </c>
      <c r="R3" s="2" t="str">
        <f t="shared" ref="R3:R7" si="2">IF(OR(P3="",Q3=""),"KO",IF(P3&lt;Q3,"OK","KO"))</f>
        <v>OK</v>
      </c>
    </row>
    <row r="4" spans="1:18">
      <c r="A4" t="s">
        <v>24</v>
      </c>
      <c r="B4" t="s">
        <v>19</v>
      </c>
      <c r="C4" t="s">
        <v>20</v>
      </c>
      <c r="D4" t="s">
        <v>21</v>
      </c>
      <c r="E4" t="s">
        <v>22</v>
      </c>
      <c r="F4" s="2" t="str">
        <f>IF(OR(I4="KO",L4="KO",O4="KO",R4="KO"),"KO","OK")</f>
        <v>OK</v>
      </c>
      <c r="G4" s="4"/>
      <c r="H4" s="4"/>
      <c r="I4" s="4"/>
      <c r="J4" s="2">
        <f t="shared" si="0"/>
        <v>3.3650000000000002</v>
      </c>
      <c r="K4" s="2">
        <v>50</v>
      </c>
      <c r="L4" s="2" t="str">
        <f t="shared" si="1"/>
        <v>OK</v>
      </c>
      <c r="M4" s="4"/>
      <c r="N4" s="4"/>
      <c r="O4" s="4"/>
      <c r="P4" s="2">
        <v>50</v>
      </c>
      <c r="Q4" s="2">
        <v>125</v>
      </c>
      <c r="R4" s="2" t="str">
        <f t="shared" si="2"/>
        <v>OK</v>
      </c>
    </row>
    <row r="5" spans="1:18">
      <c r="A5" t="s">
        <v>25</v>
      </c>
      <c r="B5" t="s">
        <v>26</v>
      </c>
      <c r="C5" t="s">
        <v>20</v>
      </c>
      <c r="D5" t="s">
        <v>27</v>
      </c>
      <c r="E5" t="s">
        <v>22</v>
      </c>
      <c r="F5" s="2" t="str">
        <f>IF(OR(I5="KO",L5="KO",O5="KO",R5="KO"),"KO","OK")</f>
        <v>OK</v>
      </c>
      <c r="G5" s="4"/>
      <c r="H5" s="4"/>
      <c r="I5" s="4"/>
      <c r="J5" s="2">
        <f t="shared" ref="J5" si="3">3.365</f>
        <v>3.3650000000000002</v>
      </c>
      <c r="K5" s="2">
        <v>25</v>
      </c>
      <c r="L5" s="2" t="str">
        <f t="shared" si="1"/>
        <v>OK</v>
      </c>
      <c r="M5" s="4"/>
      <c r="N5" s="4"/>
      <c r="O5" s="4"/>
      <c r="P5" s="2">
        <v>50</v>
      </c>
      <c r="Q5" s="2">
        <v>125</v>
      </c>
      <c r="R5" s="2" t="str">
        <f t="shared" si="2"/>
        <v>OK</v>
      </c>
    </row>
    <row r="6" spans="1:18">
      <c r="A6" t="s">
        <v>28</v>
      </c>
      <c r="B6" t="s">
        <v>29</v>
      </c>
      <c r="C6" t="s">
        <v>20</v>
      </c>
      <c r="D6" t="s">
        <v>30</v>
      </c>
      <c r="E6" t="s">
        <v>31</v>
      </c>
      <c r="F6" s="2" t="str">
        <f>IF(OR(I6="KO",L6="KO",O6="KO",R6="KO"),"KO","OK")</f>
        <v>OK</v>
      </c>
      <c r="G6" s="4"/>
      <c r="H6" s="4"/>
      <c r="I6" s="4"/>
      <c r="J6" s="2">
        <f>5*1.05</f>
        <v>5.25</v>
      </c>
      <c r="K6" s="2">
        <v>25</v>
      </c>
      <c r="L6" s="2" t="str">
        <f t="shared" si="1"/>
        <v>OK</v>
      </c>
      <c r="M6" s="4"/>
      <c r="N6" s="4"/>
      <c r="O6" s="4"/>
      <c r="P6" s="2">
        <v>50</v>
      </c>
      <c r="Q6" s="2">
        <v>85</v>
      </c>
      <c r="R6" s="2" t="str">
        <f t="shared" si="2"/>
        <v>OK</v>
      </c>
    </row>
    <row r="7" spans="1:18">
      <c r="A7" t="s">
        <v>32</v>
      </c>
      <c r="B7" t="s">
        <v>29</v>
      </c>
      <c r="C7" t="s">
        <v>20</v>
      </c>
      <c r="D7" t="s">
        <v>30</v>
      </c>
      <c r="E7" t="s">
        <v>31</v>
      </c>
      <c r="F7" s="2" t="str">
        <f>IF(OR(I7="KO",L7="KO",O7="KO",R7="KO"),"KO","OK")</f>
        <v>OK</v>
      </c>
      <c r="G7" s="4"/>
      <c r="H7" s="4"/>
      <c r="I7" s="4"/>
      <c r="J7" s="2">
        <f t="shared" ref="J7:J8" si="4">3.365</f>
        <v>3.3650000000000002</v>
      </c>
      <c r="K7" s="2">
        <v>25</v>
      </c>
      <c r="L7" s="2" t="str">
        <f t="shared" si="1"/>
        <v>OK</v>
      </c>
      <c r="M7" s="4"/>
      <c r="N7" s="4"/>
      <c r="O7" s="4"/>
      <c r="P7" s="2">
        <v>50</v>
      </c>
      <c r="Q7" s="2">
        <v>85</v>
      </c>
      <c r="R7" s="2" t="str">
        <f t="shared" si="2"/>
        <v>OK</v>
      </c>
    </row>
    <row r="8" spans="1:18">
      <c r="A8" t="s">
        <v>33</v>
      </c>
      <c r="B8" t="s">
        <v>19</v>
      </c>
      <c r="C8" t="s">
        <v>20</v>
      </c>
      <c r="D8" t="s">
        <v>21</v>
      </c>
      <c r="E8" t="s">
        <v>22</v>
      </c>
      <c r="F8" s="2" t="str">
        <f>IF(OR(I8="KO",L8="KO",O8="KO",R8="KO"),"KO","OK")</f>
        <v>OK</v>
      </c>
      <c r="G8" s="4"/>
      <c r="H8" s="4"/>
      <c r="I8" s="4"/>
      <c r="J8" s="2">
        <f t="shared" si="4"/>
        <v>3.3650000000000002</v>
      </c>
      <c r="K8" s="2">
        <v>50</v>
      </c>
      <c r="L8" s="2" t="str">
        <f t="shared" ref="L8" si="5">IF(OR(J8="",K8=""),"KO",IF(J8&lt;K8,"OK","KO"))</f>
        <v>OK</v>
      </c>
      <c r="M8" s="4"/>
      <c r="N8" s="4"/>
      <c r="O8" s="4"/>
      <c r="P8" s="2">
        <v>50</v>
      </c>
      <c r="Q8" s="2">
        <v>125</v>
      </c>
      <c r="R8" s="2" t="str">
        <f t="shared" ref="R8" si="6">IF(OR(P8="",Q8=""),"KO",IF(P8&lt;Q8,"OK","KO"))</f>
        <v>OK</v>
      </c>
    </row>
    <row r="9" spans="1:18">
      <c r="A9" t="s">
        <v>34</v>
      </c>
      <c r="B9" t="s">
        <v>35</v>
      </c>
      <c r="C9" t="s">
        <v>36</v>
      </c>
      <c r="F9" s="2" t="str">
        <f>IF(OR(I9="KO",L9="KO",O9="KO",R9="KO"),"KO","OK")</f>
        <v>OK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</row>
    <row r="10" spans="1:18" ht="15.75" customHeight="1">
      <c r="A10" t="s">
        <v>37</v>
      </c>
      <c r="B10" t="s">
        <v>38</v>
      </c>
      <c r="C10" t="s">
        <v>36</v>
      </c>
      <c r="F10" s="2" t="str">
        <f>IF(OR(I10="KO",L10="KO",O10="KO",R10="KO"),"KO","OK")</f>
        <v>OK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</row>
    <row r="11" spans="1:18" ht="29.25" customHeight="1">
      <c r="A11" t="s">
        <v>39</v>
      </c>
      <c r="B11" t="s">
        <v>40</v>
      </c>
      <c r="C11" t="s">
        <v>41</v>
      </c>
      <c r="D11" s="1" t="s">
        <v>42</v>
      </c>
      <c r="E11" s="1" t="s">
        <v>43</v>
      </c>
      <c r="F11" s="2" t="str">
        <f>IF(OR(I11="KO",L11="KO",O11="KO",R11="KO"),"KO","OK")</f>
        <v>OK</v>
      </c>
      <c r="G11" s="2">
        <f>(3.365 - 1.7)/(150*0.99)</f>
        <v>1.1212121212121213E-2</v>
      </c>
      <c r="H11" s="2">
        <v>1.4999999999999999E-2</v>
      </c>
      <c r="I11" s="2" t="str">
        <f>IF(OR(G11="",H11=""),"KO",IF(G11&lt;H11,"OK","KO"))</f>
        <v>OK</v>
      </c>
      <c r="J11" s="2">
        <f t="shared" ref="J11" si="7">3.365</f>
        <v>3.3650000000000002</v>
      </c>
      <c r="K11" s="2">
        <v>5</v>
      </c>
      <c r="L11" s="2" t="str">
        <f>IF(OR(J11="",K11=""),"KO",IF(J11&lt;K11,"OK","KO"))</f>
        <v>OK</v>
      </c>
      <c r="M11" s="2">
        <f>Tableau1[[#This Row],[Voltage (V)]]*Tableau1[[#This Row],[Current (A)]]</f>
        <v>3.7728787878787882E-2</v>
      </c>
      <c r="N11" s="2">
        <v>0.06</v>
      </c>
      <c r="O11" s="2" t="str">
        <f>IF(OR(M11="",N11=""),"KO",IF(M11&lt;N11,"OK","KO"))</f>
        <v>OK</v>
      </c>
      <c r="P11" s="2">
        <v>50</v>
      </c>
      <c r="Q11" s="2">
        <v>85</v>
      </c>
      <c r="R11" s="2" t="str">
        <f>IF(OR(P11="",Q11=""),"KO",IF(P11&lt;Q11,"OK","KO"))</f>
        <v>OK</v>
      </c>
    </row>
    <row r="12" spans="1:18">
      <c r="A12" t="s">
        <v>44</v>
      </c>
      <c r="B12" t="s">
        <v>45</v>
      </c>
      <c r="C12" t="s">
        <v>46</v>
      </c>
      <c r="D12" t="s">
        <v>46</v>
      </c>
      <c r="E12" t="s">
        <v>47</v>
      </c>
      <c r="F12" s="2" t="str">
        <f>IF(OR(I12="KO",L12="KO",O12="KO",R12="KO"),"KO","OK")</f>
        <v>OK</v>
      </c>
      <c r="G12" s="4"/>
      <c r="H12" s="4"/>
      <c r="I12" s="4"/>
      <c r="J12" s="4"/>
      <c r="K12" s="4"/>
      <c r="L12" s="4"/>
      <c r="M12" s="4"/>
      <c r="N12" s="4"/>
      <c r="O12" s="4"/>
      <c r="P12" s="2">
        <f>50+50</f>
        <v>100</v>
      </c>
      <c r="Q12" s="2">
        <v>150</v>
      </c>
      <c r="R12" s="2" t="str">
        <f t="shared" ref="R12:R13" si="8">IF(OR(P12="",Q12=""),"KO",IF(P12&lt;Q12,"OK","KO"))</f>
        <v>OK</v>
      </c>
    </row>
    <row r="13" spans="1:18">
      <c r="A13" t="s">
        <v>48</v>
      </c>
      <c r="B13" t="s">
        <v>49</v>
      </c>
      <c r="C13" t="s">
        <v>50</v>
      </c>
      <c r="D13" t="s">
        <v>51</v>
      </c>
      <c r="E13" t="s">
        <v>52</v>
      </c>
      <c r="F13" s="2" t="str">
        <f>IF(OR(I13="KO",L13="KO",O13="KO",R13="KO"),"KO","OK")</f>
        <v>OK</v>
      </c>
      <c r="G13" s="5"/>
      <c r="H13" s="4"/>
      <c r="I13" s="4"/>
      <c r="J13" s="4"/>
      <c r="K13" s="4"/>
      <c r="L13" s="4"/>
      <c r="M13" s="5"/>
      <c r="N13" s="4"/>
      <c r="O13" s="4"/>
      <c r="P13" s="2">
        <v>100</v>
      </c>
      <c r="Q13" s="2">
        <v>150</v>
      </c>
      <c r="R13" s="2" t="str">
        <f t="shared" si="8"/>
        <v>OK</v>
      </c>
    </row>
    <row r="14" spans="1:18">
      <c r="A14" t="s">
        <v>53</v>
      </c>
      <c r="B14" t="s">
        <v>54</v>
      </c>
      <c r="C14" t="s">
        <v>55</v>
      </c>
      <c r="F14" s="2" t="str">
        <f>IF(OR(I14="KO",L14="KO",O14="KO",R14="KO"),"KO","OK")</f>
        <v>OK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</row>
    <row r="15" spans="1:18">
      <c r="A15" t="s">
        <v>56</v>
      </c>
      <c r="B15" t="s">
        <v>57</v>
      </c>
      <c r="C15" t="s">
        <v>55</v>
      </c>
      <c r="D15" t="s">
        <v>58</v>
      </c>
      <c r="E15" t="s">
        <v>59</v>
      </c>
      <c r="F15" s="2" t="str">
        <f>IF(OR(I15="KO",L15="KO",O15="KO",R15="KO"),"KO","OK")</f>
        <v>OK</v>
      </c>
      <c r="G15" s="4"/>
      <c r="H15" s="4"/>
      <c r="I15" s="4"/>
      <c r="J15" s="2">
        <f t="shared" ref="J15" si="9">3.365</f>
        <v>3.3650000000000002</v>
      </c>
      <c r="K15" s="2">
        <v>5.2</v>
      </c>
      <c r="L15" s="2" t="str">
        <f>IF(OR(J15="",K15=""),"KO",IF(J15&lt;K15,"OK","KO"))</f>
        <v>OK</v>
      </c>
      <c r="M15" s="4"/>
      <c r="N15" s="4"/>
      <c r="O15" s="4"/>
      <c r="P15" s="2">
        <v>50</v>
      </c>
      <c r="Q15" s="2">
        <v>80</v>
      </c>
      <c r="R15" s="2" t="str">
        <f>IF(OR(P15="",Q15=""),"KO",IF(P15&lt;Q15,"OK","KO"))</f>
        <v>OK</v>
      </c>
    </row>
    <row r="16" spans="1:18">
      <c r="A16" t="s">
        <v>60</v>
      </c>
      <c r="B16" t="s">
        <v>61</v>
      </c>
      <c r="C16" t="s">
        <v>62</v>
      </c>
      <c r="D16" t="s">
        <v>63</v>
      </c>
      <c r="E16" t="s">
        <v>64</v>
      </c>
      <c r="F16" s="2" t="str">
        <f>IF(OR(I16="KO",L16="KO",O16="KO",R16="KO"),"KO","OK")</f>
        <v>OK</v>
      </c>
      <c r="G16" s="2">
        <f>0.8 + 5*1.05/(5100*0.99) + 5*1.05/(5100*0.99)</f>
        <v>0.80207961972667863</v>
      </c>
      <c r="H16" s="2">
        <v>3</v>
      </c>
      <c r="I16" s="2" t="str">
        <f t="shared" ref="I16:I17" si="10">IF(OR(G16="",H16=""),"KO",IF(G16&lt;H16,"OK","KO"))</f>
        <v>OK</v>
      </c>
      <c r="J16" s="2">
        <f>5*1.05</f>
        <v>5.25</v>
      </c>
      <c r="K16" s="2">
        <v>48</v>
      </c>
      <c r="L16" s="2" t="str">
        <f t="shared" ref="L16:L29" si="11">IF(OR(J16="",K16=""),"KO",IF(J16&lt;K16,"OK","KO"))</f>
        <v>OK</v>
      </c>
      <c r="M16" s="4"/>
      <c r="N16" s="4"/>
      <c r="O16" s="4"/>
      <c r="P16" s="2">
        <v>50</v>
      </c>
      <c r="Q16" s="2">
        <v>85</v>
      </c>
      <c r="R16" s="2" t="str">
        <f t="shared" ref="R16:R29" si="12">IF(OR(P16="",Q16=""),"KO",IF(P16&lt;Q16,"OK","KO"))</f>
        <v>OK</v>
      </c>
    </row>
    <row r="17" spans="1:18">
      <c r="A17" t="s">
        <v>65</v>
      </c>
      <c r="B17" t="s">
        <v>66</v>
      </c>
      <c r="C17" t="s">
        <v>67</v>
      </c>
      <c r="D17" t="s">
        <v>68</v>
      </c>
      <c r="E17" t="s">
        <v>69</v>
      </c>
      <c r="F17" s="2" t="str">
        <f>IF(OR(I17="KO",L17="KO",O17="KO",R17="KO"),"KO","OK")</f>
        <v>OK</v>
      </c>
      <c r="G17" s="2">
        <v>12</v>
      </c>
      <c r="H17" s="2">
        <v>16</v>
      </c>
      <c r="I17" s="2" t="str">
        <f t="shared" si="10"/>
        <v>OK</v>
      </c>
      <c r="J17" s="2">
        <f>230*SQRT(2)</f>
        <v>325.26911934581187</v>
      </c>
      <c r="K17" s="2">
        <v>600</v>
      </c>
      <c r="L17" s="2" t="str">
        <f t="shared" si="11"/>
        <v>OK</v>
      </c>
      <c r="M17" s="2">
        <v>13</v>
      </c>
      <c r="N17" s="2">
        <f>(125-50)/(2.1+0.5+2.6)</f>
        <v>14.423076923076923</v>
      </c>
      <c r="O17" s="2" t="str">
        <f>IF(OR(M17="",N17=""),"KO",IF(M17&lt;N17,"OK","KO"))</f>
        <v>OK</v>
      </c>
      <c r="P17" s="2">
        <f>50+Tableau1[[#This Row],[Power (W)]]*(2.1+0.5+2.6)</f>
        <v>117.60000000000001</v>
      </c>
      <c r="Q17" s="2">
        <v>125</v>
      </c>
      <c r="R17" s="2" t="str">
        <f t="shared" si="12"/>
        <v>OK</v>
      </c>
    </row>
    <row r="18" spans="1:18">
      <c r="A18" t="s">
        <v>70</v>
      </c>
      <c r="B18" t="s">
        <v>71</v>
      </c>
      <c r="C18" t="s">
        <v>72</v>
      </c>
      <c r="D18" t="s">
        <v>73</v>
      </c>
      <c r="E18" t="s">
        <v>74</v>
      </c>
      <c r="F18" s="2" t="str">
        <f>IF(OR(I18="KO",L18="KO",O18="KO",R18="KO"),"KO","OK")</f>
        <v>OK</v>
      </c>
      <c r="G18" s="4"/>
      <c r="H18" s="4"/>
      <c r="I18" s="4"/>
      <c r="J18" s="2">
        <v>230</v>
      </c>
      <c r="K18" s="2">
        <v>300</v>
      </c>
      <c r="L18" s="2" t="str">
        <f t="shared" si="11"/>
        <v>OK</v>
      </c>
      <c r="M18" s="2">
        <f>(((1100*1.01)/3)*0.05)^2/(1100*1.01)</f>
        <v>0.30861111111111106</v>
      </c>
      <c r="N18" s="2">
        <v>0.5</v>
      </c>
      <c r="O18" s="2" t="str">
        <f t="shared" ref="O18:O29" si="13">IF(OR(M18="",N18=""),"KO",IF(M18&lt;N18,"OK","KO"))</f>
        <v>OK</v>
      </c>
      <c r="P18" s="2">
        <v>50</v>
      </c>
      <c r="Q18" s="2">
        <v>70</v>
      </c>
      <c r="R18" s="2" t="str">
        <f t="shared" si="12"/>
        <v>OK</v>
      </c>
    </row>
    <row r="19" spans="1:18">
      <c r="A19" t="s">
        <v>75</v>
      </c>
      <c r="B19" t="s">
        <v>71</v>
      </c>
      <c r="C19" t="s">
        <v>72</v>
      </c>
      <c r="D19" t="s">
        <v>73</v>
      </c>
      <c r="E19" t="s">
        <v>74</v>
      </c>
      <c r="F19" s="2" t="str">
        <f>IF(OR(I19="KO",L19="KO",O19="KO",R19="KO"),"KO","OK")</f>
        <v>OK</v>
      </c>
      <c r="G19" s="4"/>
      <c r="H19" s="4"/>
      <c r="I19" s="4"/>
      <c r="J19" s="2">
        <v>230</v>
      </c>
      <c r="K19" s="2">
        <v>300</v>
      </c>
      <c r="L19" s="2" t="str">
        <f t="shared" si="11"/>
        <v>OK</v>
      </c>
      <c r="M19" s="2">
        <f>(((1100*1.01)/3)*0.05)^2/(1100*1.01)</f>
        <v>0.30861111111111106</v>
      </c>
      <c r="N19" s="2">
        <v>0.5</v>
      </c>
      <c r="O19" s="2" t="str">
        <f t="shared" si="13"/>
        <v>OK</v>
      </c>
      <c r="P19" s="2">
        <v>50</v>
      </c>
      <c r="Q19" s="2">
        <v>70</v>
      </c>
      <c r="R19" s="2" t="str">
        <f t="shared" si="12"/>
        <v>OK</v>
      </c>
    </row>
    <row r="20" spans="1:18">
      <c r="A20" t="s">
        <v>76</v>
      </c>
      <c r="B20" t="s">
        <v>71</v>
      </c>
      <c r="C20" t="s">
        <v>72</v>
      </c>
      <c r="D20" t="s">
        <v>73</v>
      </c>
      <c r="E20" t="s">
        <v>74</v>
      </c>
      <c r="F20" s="2" t="str">
        <f>IF(OR(I20="KO",L20="KO",O20="KO",R20="KO"),"KO","OK")</f>
        <v>OK</v>
      </c>
      <c r="G20" s="4"/>
      <c r="H20" s="4"/>
      <c r="I20" s="4"/>
      <c r="J20" s="2">
        <v>230</v>
      </c>
      <c r="K20" s="2">
        <v>300</v>
      </c>
      <c r="L20" s="2" t="str">
        <f t="shared" si="11"/>
        <v>OK</v>
      </c>
      <c r="M20" s="2">
        <f>(((1100*1.01)/3)*0.05)^2/(1100*1.01)</f>
        <v>0.30861111111111106</v>
      </c>
      <c r="N20" s="2">
        <v>0.5</v>
      </c>
      <c r="O20" s="2" t="str">
        <f t="shared" si="13"/>
        <v>OK</v>
      </c>
      <c r="P20" s="2">
        <v>50</v>
      </c>
      <c r="Q20" s="2">
        <v>70</v>
      </c>
      <c r="R20" s="2" t="str">
        <f t="shared" si="12"/>
        <v>OK</v>
      </c>
    </row>
    <row r="21" spans="1:18">
      <c r="A21" t="s">
        <v>77</v>
      </c>
      <c r="B21" t="s">
        <v>78</v>
      </c>
      <c r="C21" t="s">
        <v>79</v>
      </c>
      <c r="D21" t="s">
        <v>80</v>
      </c>
      <c r="E21" t="s">
        <v>81</v>
      </c>
      <c r="F21" s="2" t="str">
        <f>IF(OR(I21="KO",L21="KO",O21="KO",R21="KO"),"KO","OK")</f>
        <v>OK</v>
      </c>
      <c r="G21" s="4"/>
      <c r="H21" s="4"/>
      <c r="I21" s="4"/>
      <c r="J21" s="2">
        <f>3.365</f>
        <v>3.3650000000000002</v>
      </c>
      <c r="K21" s="2">
        <v>100</v>
      </c>
      <c r="L21" s="2" t="str">
        <f t="shared" si="11"/>
        <v>OK</v>
      </c>
      <c r="M21" s="2">
        <f>Tableau1[[#This Row],[Voltage (V)]]^2/(1800*0.999)</f>
        <v>6.2969775330886449E-3</v>
      </c>
      <c r="N21" s="2">
        <v>0.125</v>
      </c>
      <c r="O21" s="2" t="str">
        <f t="shared" si="13"/>
        <v>OK</v>
      </c>
      <c r="P21" s="2">
        <v>50</v>
      </c>
      <c r="Q21" s="2">
        <v>85</v>
      </c>
      <c r="R21" s="2" t="str">
        <f t="shared" si="12"/>
        <v>OK</v>
      </c>
    </row>
    <row r="22" spans="1:18">
      <c r="A22" t="s">
        <v>82</v>
      </c>
      <c r="B22" t="s">
        <v>83</v>
      </c>
      <c r="C22" t="s">
        <v>79</v>
      </c>
      <c r="D22" t="s">
        <v>84</v>
      </c>
      <c r="E22" t="s">
        <v>85</v>
      </c>
      <c r="F22" s="2" t="str">
        <f>IF(OR(I22="KO",L22="KO",O22="KO",R22="KO"),"KO","OK")</f>
        <v>OK</v>
      </c>
      <c r="G22" s="4"/>
      <c r="H22" s="4"/>
      <c r="I22" s="4"/>
      <c r="J22" s="2">
        <f t="shared" ref="J22:J27" si="14">3.365</f>
        <v>3.3650000000000002</v>
      </c>
      <c r="K22" s="2">
        <v>150</v>
      </c>
      <c r="L22" s="2" t="str">
        <f t="shared" si="11"/>
        <v>OK</v>
      </c>
      <c r="M22" s="2">
        <f>Tableau1[[#This Row],[Voltage (V)]]^2/(150*0.99)</f>
        <v>7.6250673400673402E-2</v>
      </c>
      <c r="N22" s="2">
        <v>0.25</v>
      </c>
      <c r="O22" s="2" t="str">
        <f t="shared" si="13"/>
        <v>OK</v>
      </c>
      <c r="P22" s="2">
        <v>50</v>
      </c>
      <c r="Q22" s="2">
        <v>70</v>
      </c>
      <c r="R22" s="2" t="str">
        <f t="shared" si="12"/>
        <v>OK</v>
      </c>
    </row>
    <row r="23" spans="1:18">
      <c r="A23" t="s">
        <v>86</v>
      </c>
      <c r="B23" t="s">
        <v>83</v>
      </c>
      <c r="C23" t="s">
        <v>79</v>
      </c>
      <c r="D23" t="s">
        <v>84</v>
      </c>
      <c r="E23" t="s">
        <v>85</v>
      </c>
      <c r="F23" s="2" t="str">
        <f>IF(OR(I23="KO",L23="KO",O23="KO",R23="KO"),"KO","OK")</f>
        <v>OK</v>
      </c>
      <c r="G23" s="4"/>
      <c r="H23" s="4"/>
      <c r="I23" s="4"/>
      <c r="J23" s="2">
        <f t="shared" si="14"/>
        <v>3.3650000000000002</v>
      </c>
      <c r="K23" s="2">
        <v>150</v>
      </c>
      <c r="L23" s="2" t="str">
        <f t="shared" si="11"/>
        <v>OK</v>
      </c>
      <c r="M23" s="2">
        <f>Tableau1[[#This Row],[Voltage (V)]]^2/(150*0.99)</f>
        <v>7.6250673400673402E-2</v>
      </c>
      <c r="N23" s="2">
        <v>0.25</v>
      </c>
      <c r="O23" s="2" t="str">
        <f t="shared" si="13"/>
        <v>OK</v>
      </c>
      <c r="P23" s="2">
        <v>50</v>
      </c>
      <c r="Q23" s="2">
        <v>70</v>
      </c>
      <c r="R23" s="2" t="str">
        <f t="shared" si="12"/>
        <v>OK</v>
      </c>
    </row>
    <row r="24" spans="1:18">
      <c r="A24" t="s">
        <v>87</v>
      </c>
      <c r="B24" t="s">
        <v>83</v>
      </c>
      <c r="C24" t="s">
        <v>79</v>
      </c>
      <c r="D24" t="s">
        <v>84</v>
      </c>
      <c r="E24" t="s">
        <v>85</v>
      </c>
      <c r="F24" s="2" t="str">
        <f>IF(OR(I24="KO",L24="KO",O24="KO",R24="KO"),"KO","OK")</f>
        <v>OK</v>
      </c>
      <c r="G24" s="4"/>
      <c r="H24" s="4"/>
      <c r="I24" s="4"/>
      <c r="J24" s="2">
        <f t="shared" si="14"/>
        <v>3.3650000000000002</v>
      </c>
      <c r="K24" s="2">
        <v>150</v>
      </c>
      <c r="L24" s="2" t="str">
        <f t="shared" si="11"/>
        <v>OK</v>
      </c>
      <c r="M24" s="2">
        <f>Tableau1[[#This Row],[Voltage (V)]]^2/(150*0.99)</f>
        <v>7.6250673400673402E-2</v>
      </c>
      <c r="N24" s="2">
        <v>0.25</v>
      </c>
      <c r="O24" s="2" t="str">
        <f t="shared" si="13"/>
        <v>OK</v>
      </c>
      <c r="P24" s="2">
        <v>50</v>
      </c>
      <c r="Q24" s="2">
        <v>70</v>
      </c>
      <c r="R24" s="2" t="str">
        <f t="shared" si="12"/>
        <v>OK</v>
      </c>
    </row>
    <row r="25" spans="1:18">
      <c r="A25" t="s">
        <v>88</v>
      </c>
      <c r="B25" t="s">
        <v>83</v>
      </c>
      <c r="C25" t="s">
        <v>79</v>
      </c>
      <c r="D25" t="s">
        <v>84</v>
      </c>
      <c r="E25" t="s">
        <v>85</v>
      </c>
      <c r="F25" s="2" t="str">
        <f>IF(OR(I25="KO",L25="KO",O25="KO",R25="KO"),"KO","OK")</f>
        <v>OK</v>
      </c>
      <c r="G25" s="4"/>
      <c r="H25" s="4"/>
      <c r="I25" s="4"/>
      <c r="J25" s="2">
        <f t="shared" si="14"/>
        <v>3.3650000000000002</v>
      </c>
      <c r="K25" s="2">
        <v>150</v>
      </c>
      <c r="L25" s="2" t="str">
        <f t="shared" si="11"/>
        <v>OK</v>
      </c>
      <c r="M25" s="2">
        <f>Tableau1[[#This Row],[Voltage (V)]]^2/(150*0.99)</f>
        <v>7.6250673400673402E-2</v>
      </c>
      <c r="N25" s="2">
        <v>0.25</v>
      </c>
      <c r="O25" s="2" t="str">
        <f t="shared" si="13"/>
        <v>OK</v>
      </c>
      <c r="P25" s="2">
        <v>50</v>
      </c>
      <c r="Q25" s="2">
        <v>70</v>
      </c>
      <c r="R25" s="2" t="str">
        <f t="shared" si="12"/>
        <v>OK</v>
      </c>
    </row>
    <row r="26" spans="1:18">
      <c r="A26" t="s">
        <v>89</v>
      </c>
      <c r="B26" t="s">
        <v>90</v>
      </c>
      <c r="C26" t="s">
        <v>79</v>
      </c>
      <c r="D26" t="s">
        <v>91</v>
      </c>
      <c r="E26" t="s">
        <v>85</v>
      </c>
      <c r="F26" s="2" t="str">
        <f>IF(OR(I26="KO",L26="KO",O26="KO",R26="KO"),"KO","OK")</f>
        <v>OK</v>
      </c>
      <c r="G26" s="4"/>
      <c r="H26" s="4"/>
      <c r="I26" s="4"/>
      <c r="J26" s="2">
        <f t="shared" si="14"/>
        <v>3.3650000000000002</v>
      </c>
      <c r="K26" s="2">
        <v>150</v>
      </c>
      <c r="L26" s="2" t="str">
        <f t="shared" si="11"/>
        <v>OK</v>
      </c>
      <c r="M26" s="2">
        <f>Tableau1[[#This Row],[Voltage (V)]]^2/(10000*0.99)</f>
        <v>1.1437601010101011E-3</v>
      </c>
      <c r="N26" s="2">
        <v>0.25</v>
      </c>
      <c r="O26" s="2" t="str">
        <f t="shared" si="13"/>
        <v>OK</v>
      </c>
      <c r="P26" s="2">
        <v>50</v>
      </c>
      <c r="Q26" s="2">
        <v>70</v>
      </c>
      <c r="R26" s="2" t="str">
        <f t="shared" si="12"/>
        <v>OK</v>
      </c>
    </row>
    <row r="27" spans="1:18">
      <c r="A27" t="s">
        <v>92</v>
      </c>
      <c r="B27" t="s">
        <v>90</v>
      </c>
      <c r="C27" t="s">
        <v>79</v>
      </c>
      <c r="D27" t="s">
        <v>91</v>
      </c>
      <c r="E27" t="s">
        <v>85</v>
      </c>
      <c r="F27" s="2" t="str">
        <f>IF(OR(I27="KO",L27="KO",O27="KO",R27="KO"),"KO","OK")</f>
        <v>OK</v>
      </c>
      <c r="G27" s="4"/>
      <c r="H27" s="4"/>
      <c r="I27" s="4"/>
      <c r="J27" s="2">
        <f t="shared" si="14"/>
        <v>3.3650000000000002</v>
      </c>
      <c r="K27" s="2">
        <v>150</v>
      </c>
      <c r="L27" s="2" t="str">
        <f t="shared" si="11"/>
        <v>OK</v>
      </c>
      <c r="M27" s="2">
        <f>Tableau1[[#This Row],[Voltage (V)]]^2/(10000*0.99)</f>
        <v>1.1437601010101011E-3</v>
      </c>
      <c r="N27" s="2">
        <v>0.25</v>
      </c>
      <c r="O27" s="2" t="str">
        <f t="shared" si="13"/>
        <v>OK</v>
      </c>
      <c r="P27" s="2">
        <v>50</v>
      </c>
      <c r="Q27" s="2">
        <v>70</v>
      </c>
      <c r="R27" s="2" t="str">
        <f t="shared" si="12"/>
        <v>OK</v>
      </c>
    </row>
    <row r="28" spans="1:18">
      <c r="A28" t="s">
        <v>93</v>
      </c>
      <c r="B28" t="s">
        <v>94</v>
      </c>
      <c r="C28" t="s">
        <v>79</v>
      </c>
      <c r="D28" t="s">
        <v>95</v>
      </c>
      <c r="E28" t="s">
        <v>85</v>
      </c>
      <c r="F28" s="2" t="str">
        <f>IF(OR(I28="KO",L28="KO",O28="KO",R28="KO"),"KO","OK")</f>
        <v>OK</v>
      </c>
      <c r="G28" s="4"/>
      <c r="H28" s="4"/>
      <c r="I28" s="4"/>
      <c r="J28" s="2">
        <f>5*1.05</f>
        <v>5.25</v>
      </c>
      <c r="K28" s="2">
        <v>150</v>
      </c>
      <c r="L28" s="2" t="str">
        <f t="shared" si="11"/>
        <v>OK</v>
      </c>
      <c r="M28" s="2">
        <f>Tableau1[[#This Row],[Voltage (V)]]^2/(5100*0.99)</f>
        <v>5.4590017825311941E-3</v>
      </c>
      <c r="N28" s="2">
        <v>0.25</v>
      </c>
      <c r="O28" s="2" t="str">
        <f t="shared" si="13"/>
        <v>OK</v>
      </c>
      <c r="P28" s="2">
        <v>50</v>
      </c>
      <c r="Q28" s="2">
        <v>70</v>
      </c>
      <c r="R28" s="2" t="str">
        <f t="shared" si="12"/>
        <v>OK</v>
      </c>
    </row>
    <row r="29" spans="1:18">
      <c r="A29" t="s">
        <v>96</v>
      </c>
      <c r="B29" t="s">
        <v>94</v>
      </c>
      <c r="C29" t="s">
        <v>79</v>
      </c>
      <c r="D29" t="s">
        <v>95</v>
      </c>
      <c r="E29" t="s">
        <v>85</v>
      </c>
      <c r="F29" s="2" t="str">
        <f>IF(OR(I29="KO",L29="KO",O29="KO",R29="KO"),"KO","OK")</f>
        <v>OK</v>
      </c>
      <c r="G29" s="4"/>
      <c r="H29" s="4"/>
      <c r="I29" s="4"/>
      <c r="J29" s="2">
        <f>5*1.05</f>
        <v>5.25</v>
      </c>
      <c r="K29" s="2">
        <v>150</v>
      </c>
      <c r="L29" s="2" t="str">
        <f t="shared" si="11"/>
        <v>OK</v>
      </c>
      <c r="M29" s="2">
        <f>Tableau1[[#This Row],[Voltage (V)]]^2/(5100*0.99)</f>
        <v>5.4590017825311941E-3</v>
      </c>
      <c r="N29" s="2">
        <v>0.25</v>
      </c>
      <c r="O29" s="2" t="str">
        <f t="shared" si="13"/>
        <v>OK</v>
      </c>
      <c r="P29" s="2">
        <v>50</v>
      </c>
      <c r="Q29" s="2">
        <v>70</v>
      </c>
      <c r="R29" s="2" t="str">
        <f t="shared" si="12"/>
        <v>OK</v>
      </c>
    </row>
    <row r="30" spans="1:18">
      <c r="A30" t="s">
        <v>97</v>
      </c>
      <c r="B30" t="s">
        <v>5</v>
      </c>
      <c r="C30" t="s">
        <v>98</v>
      </c>
      <c r="F30" s="2" t="str">
        <f>IF(OR(I30="KO",L30="KO",O30="KO",R30="KO"),"KO","OK")</f>
        <v>OK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</row>
    <row r="31" spans="1:18">
      <c r="A31" t="s">
        <v>99</v>
      </c>
      <c r="B31" t="s">
        <v>100</v>
      </c>
      <c r="C31" t="s">
        <v>98</v>
      </c>
      <c r="F31" s="2" t="str">
        <f>IF(OR(I31="KO",L31="KO",O31="KO",R31="KO"),"KO","OK")</f>
        <v>OK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</row>
    <row r="32" spans="1:18">
      <c r="A32" t="s">
        <v>101</v>
      </c>
      <c r="B32" t="s">
        <v>102</v>
      </c>
      <c r="C32" t="s">
        <v>98</v>
      </c>
      <c r="F32" s="2" t="str">
        <f>IF(OR(I32="KO",L32="KO",O32="KO",R32="KO"),"KO","OK")</f>
        <v>OK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</row>
    <row r="33" spans="1:18">
      <c r="A33" t="s">
        <v>103</v>
      </c>
      <c r="B33" t="s">
        <v>104</v>
      </c>
      <c r="C33" t="s">
        <v>98</v>
      </c>
      <c r="F33" s="2" t="str">
        <f>IF(OR(I33="KO",L33="KO",O33="KO",R33="KO"),"KO","OK")</f>
        <v>OK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</row>
    <row r="34" spans="1:18">
      <c r="A34" t="s">
        <v>105</v>
      </c>
      <c r="B34" t="s">
        <v>106</v>
      </c>
      <c r="C34" t="s">
        <v>98</v>
      </c>
      <c r="F34" s="2" t="str">
        <f>IF(OR(I34="KO",L34="KO",O34="KO",R34="KO"),"KO","OK")</f>
        <v>OK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</row>
    <row r="35" spans="1:18">
      <c r="A35" t="s">
        <v>107</v>
      </c>
      <c r="B35" t="s">
        <v>108</v>
      </c>
      <c r="C35" t="s">
        <v>98</v>
      </c>
      <c r="F35" s="2" t="str">
        <f>IF(OR(I35="KO",L35="KO",O35="KO",R35="KO"),"KO","OK")</f>
        <v>OK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</row>
    <row r="36" spans="1:18">
      <c r="A36" t="s">
        <v>109</v>
      </c>
      <c r="B36" t="s">
        <v>110</v>
      </c>
      <c r="C36" t="s">
        <v>98</v>
      </c>
      <c r="F36" s="2" t="str">
        <f>IF(OR(I36="KO",L36="KO",O36="KO",R36="KO"),"KO","OK")</f>
        <v>OK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</row>
    <row r="37" spans="1:18">
      <c r="A37" t="s">
        <v>111</v>
      </c>
      <c r="B37" t="s">
        <v>112</v>
      </c>
      <c r="C37" t="s">
        <v>98</v>
      </c>
      <c r="F37" s="2" t="str">
        <f>IF(OR(I37="KO",L37="KO",O37="KO",R37="KO"),"KO","OK")</f>
        <v>OK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</row>
    <row r="38" spans="1:18" ht="28.5" customHeight="1">
      <c r="A38" t="s">
        <v>113</v>
      </c>
      <c r="B38" t="s">
        <v>114</v>
      </c>
      <c r="C38" t="s">
        <v>115</v>
      </c>
      <c r="D38" t="s">
        <v>116</v>
      </c>
      <c r="E38" s="1" t="s">
        <v>117</v>
      </c>
      <c r="F38" s="2" t="str">
        <f>IF(OR(I38="KO",L38="KO",O38="KO",R38="KO"),"KO","OK")</f>
        <v>OK</v>
      </c>
      <c r="G38" s="4"/>
      <c r="H38" s="4"/>
      <c r="I38" s="4"/>
      <c r="J38" s="2">
        <f>3.365</f>
        <v>3.3650000000000002</v>
      </c>
      <c r="K38" s="2">
        <v>50</v>
      </c>
      <c r="L38" s="2" t="str">
        <f>IF(OR(J38="",K38=""),"KO",IF(J38&lt;K38,"OK","KO"))</f>
        <v>OK</v>
      </c>
      <c r="M38" s="2">
        <f>MAX(((3.365*(3208000/(3208000+1800*0.999)))^2/3208000),((3.365*(72/(72+1800*0.999)))^2/72))</f>
        <v>2.3309154914283488E-4</v>
      </c>
      <c r="N38" s="2">
        <f>0.0008*(300-260)</f>
        <v>3.2000000000000001E-2</v>
      </c>
      <c r="O38" s="2" t="str">
        <f>IF(OR(M38="",N38=""),"KO",IF(M38&lt;N38,"OK","KO"))</f>
        <v>OK</v>
      </c>
      <c r="P38" s="2">
        <v>260</v>
      </c>
      <c r="Q38" s="2">
        <v>300</v>
      </c>
      <c r="R38" s="2" t="str">
        <f>IF(OR(P38="",Q38=""),"KO",IF(P38&lt;Q38,"OK","KO"))</f>
        <v>OK</v>
      </c>
    </row>
    <row r="39" spans="1:18">
      <c r="A39" t="s">
        <v>118</v>
      </c>
      <c r="B39" t="s">
        <v>119</v>
      </c>
      <c r="C39" t="s">
        <v>120</v>
      </c>
      <c r="D39" t="s">
        <v>119</v>
      </c>
      <c r="E39" t="s">
        <v>121</v>
      </c>
      <c r="F39" s="2" t="str">
        <f>IF(OR(I39="KO",L39="KO",O39="KO",R39="KO"),"KO","OK")</f>
        <v>OK</v>
      </c>
      <c r="G39" s="2">
        <f>(3.365-0.7)/(150*0.99)</f>
        <v>1.7946127946127946E-2</v>
      </c>
      <c r="H39" s="2">
        <v>0.06</v>
      </c>
      <c r="I39" s="2" t="str">
        <f>IF(OR(G39="",H39=""),"KO",IF(G39&lt;H39,"OK","KO"))</f>
        <v>OK</v>
      </c>
      <c r="J39" s="2">
        <f>3.365</f>
        <v>3.3650000000000002</v>
      </c>
      <c r="K39" s="2">
        <v>6</v>
      </c>
      <c r="L39" s="2" t="str">
        <f t="shared" ref="L39:L44" si="15">IF(OR(J39="",K39=""),"KO",IF(J39&lt;K39,"OK","KO"))</f>
        <v>OK</v>
      </c>
      <c r="M39" s="2">
        <f>(Tableau1[[#This Row],[Voltage (V)]]-0.7)/(150*0.99)</f>
        <v>1.7946127946127946E-2</v>
      </c>
      <c r="N39" s="2">
        <f>(85-50)*0.00141</f>
        <v>4.9349999999999998E-2</v>
      </c>
      <c r="O39" s="2" t="str">
        <f t="shared" ref="O39:O40" si="16">IF(OR(M39="",N39=""),"KO",IF(M39&lt;N39,"OK","KO"))</f>
        <v>OK</v>
      </c>
      <c r="P39" s="2">
        <f>50+Tableau1[[#This Row],[Power (W)]]/0.00141</f>
        <v>62.727750316402798</v>
      </c>
      <c r="Q39" s="2">
        <v>100</v>
      </c>
      <c r="R39" s="2" t="str">
        <f t="shared" ref="R39:R44" si="17">IF(OR(P39="",Q39=""),"KO",IF(P39&lt;Q39,"OK","KO"))</f>
        <v>OK</v>
      </c>
    </row>
    <row r="40" spans="1:18">
      <c r="A40" t="s">
        <v>122</v>
      </c>
      <c r="B40" t="s">
        <v>119</v>
      </c>
      <c r="C40" t="s">
        <v>120</v>
      </c>
      <c r="D40" t="s">
        <v>119</v>
      </c>
      <c r="E40" t="s">
        <v>121</v>
      </c>
      <c r="F40" s="2" t="str">
        <f>IF(AND(I40="OK",L40="OK",O40="OK",R40="OK"),"OK","KO")</f>
        <v>OK</v>
      </c>
      <c r="G40" s="3">
        <f>230*SQRT(2)/((1100*0.99)/3)</f>
        <v>0.89605818001601067</v>
      </c>
      <c r="H40" s="2">
        <v>1</v>
      </c>
      <c r="I40" s="2" t="str">
        <f t="shared" ref="I40:I44" si="18">IF(OR(G40="",H40=""),"KO",IF(G40&lt;H40,"OK","KO"))</f>
        <v>OK</v>
      </c>
      <c r="J40" s="2">
        <f>230*SQRT(2)</f>
        <v>325.26911934581187</v>
      </c>
      <c r="K40" s="2">
        <v>600</v>
      </c>
      <c r="L40" s="2" t="str">
        <f t="shared" si="15"/>
        <v>OK</v>
      </c>
      <c r="M40" s="3">
        <f>1.8*0.025</f>
        <v>4.5000000000000005E-2</v>
      </c>
      <c r="N40" s="2">
        <f>(85-50)*0.00176</f>
        <v>6.1600000000000002E-2</v>
      </c>
      <c r="O40" s="2" t="str">
        <f t="shared" si="16"/>
        <v>OK</v>
      </c>
      <c r="P40" s="2">
        <f>50+Tableau1[[#This Row],[Power (W)]]/0.00176</f>
        <v>75.568181818181813</v>
      </c>
      <c r="Q40" s="2">
        <v>100</v>
      </c>
      <c r="R40" s="2" t="str">
        <f t="shared" si="17"/>
        <v>OK</v>
      </c>
    </row>
    <row r="41" spans="1:18">
      <c r="A41" t="s">
        <v>123</v>
      </c>
      <c r="B41" t="s">
        <v>124</v>
      </c>
      <c r="C41" t="s">
        <v>125</v>
      </c>
      <c r="D41" t="s">
        <v>126</v>
      </c>
      <c r="E41" t="s">
        <v>127</v>
      </c>
      <c r="F41" s="2" t="str">
        <f>IF(OR(I41="KO",L41="KO",O41="KO",R41="KO"),"KO","OK")</f>
        <v>OK</v>
      </c>
      <c r="G41" s="2">
        <f>3*(3.365/(150*0.99))</f>
        <v>6.7979797979797987E-2</v>
      </c>
      <c r="H41" s="2">
        <v>0.1</v>
      </c>
      <c r="I41" s="2" t="str">
        <f t="shared" si="18"/>
        <v>OK</v>
      </c>
      <c r="J41" s="2">
        <f>3.365</f>
        <v>3.3650000000000002</v>
      </c>
      <c r="K41" s="2">
        <v>4</v>
      </c>
      <c r="L41" s="2" t="str">
        <f t="shared" si="15"/>
        <v>OK</v>
      </c>
      <c r="M41" s="4"/>
      <c r="N41" s="4"/>
      <c r="O41" s="4"/>
      <c r="P41" s="2">
        <v>50</v>
      </c>
      <c r="Q41" s="2">
        <v>85</v>
      </c>
      <c r="R41" s="2" t="str">
        <f t="shared" si="17"/>
        <v>OK</v>
      </c>
    </row>
    <row r="42" spans="1:18">
      <c r="B42" t="s">
        <v>128</v>
      </c>
      <c r="C42" t="s">
        <v>125</v>
      </c>
      <c r="D42" t="s">
        <v>129</v>
      </c>
      <c r="E42" t="s">
        <v>130</v>
      </c>
      <c r="F42" s="2" t="str">
        <f>IF(OR(I42="KO",L42="KO",O42="KO",R42="KO"),"KO","OK")</f>
        <v>OK</v>
      </c>
      <c r="G42" s="2">
        <f>3*(3.365/(150*0.99))</f>
        <v>6.7979797979797987E-2</v>
      </c>
      <c r="H42" s="2">
        <v>0.1</v>
      </c>
      <c r="I42" s="2" t="str">
        <f t="shared" si="18"/>
        <v>OK</v>
      </c>
      <c r="J42" s="2">
        <f>3.365</f>
        <v>3.3650000000000002</v>
      </c>
      <c r="K42" s="2">
        <v>4</v>
      </c>
      <c r="L42" s="2" t="str">
        <f t="shared" si="15"/>
        <v>OK</v>
      </c>
      <c r="M42" s="4"/>
      <c r="N42" s="4"/>
      <c r="O42" s="4"/>
      <c r="P42" s="2">
        <v>50</v>
      </c>
      <c r="Q42" s="2">
        <v>85</v>
      </c>
      <c r="R42" s="2" t="str">
        <f t="shared" si="17"/>
        <v>OK</v>
      </c>
    </row>
    <row r="43" spans="1:18">
      <c r="A43" t="s">
        <v>131</v>
      </c>
      <c r="B43" t="s">
        <v>132</v>
      </c>
      <c r="C43" t="s">
        <v>133</v>
      </c>
      <c r="D43" t="s">
        <v>134</v>
      </c>
      <c r="E43" t="s">
        <v>135</v>
      </c>
      <c r="F43" s="2" t="str">
        <f>IF(OR(I43="KO",L43="KO",O43="KO",R43="KO"),"KO","OK")</f>
        <v>OK</v>
      </c>
      <c r="G43" s="2">
        <f>0.1+3.365/(10000*0.99)+3.365/(10000*0.99)+3.365/(1800*0.999+72*0.999)+0.03+3.365/(150*0.99)</f>
        <v>0.15513907271685051</v>
      </c>
      <c r="H43" s="2">
        <v>0.8</v>
      </c>
      <c r="I43" s="2" t="str">
        <f t="shared" si="18"/>
        <v>OK</v>
      </c>
      <c r="J43" s="2">
        <f>5*1.05</f>
        <v>5.25</v>
      </c>
      <c r="K43" s="2">
        <v>15</v>
      </c>
      <c r="L43" s="2" t="str">
        <f t="shared" si="15"/>
        <v>OK</v>
      </c>
      <c r="M43" s="2">
        <f>(Tableau1[[#This Row],[Voltage (V)]]-3.235)*Tableau1[[#This Row],[Current (A)]]</f>
        <v>0.3126052315244538</v>
      </c>
      <c r="N43" s="2">
        <v>12</v>
      </c>
      <c r="O43" s="2" t="str">
        <f>IF(OR(M43="",N43=""),"KO",IF(M43&lt;N43,"OK","KO"))</f>
        <v>OK</v>
      </c>
      <c r="P43" s="2">
        <f>50 + 110*Tableau1[[#This Row],[Power (W)]]</f>
        <v>84.386575467689909</v>
      </c>
      <c r="Q43" s="2">
        <v>125</v>
      </c>
      <c r="R43" s="2" t="str">
        <f t="shared" si="17"/>
        <v>OK</v>
      </c>
    </row>
    <row r="44" spans="1:18">
      <c r="A44" t="s">
        <v>136</v>
      </c>
      <c r="B44" t="s">
        <v>137</v>
      </c>
      <c r="C44" t="s">
        <v>138</v>
      </c>
      <c r="D44" t="s">
        <v>139</v>
      </c>
      <c r="E44" t="s">
        <v>140</v>
      </c>
      <c r="F44" s="2" t="str">
        <f>IF(OR(I44="KO",L44="KO",O44="KO",R44="KO"),"KO","OK")</f>
        <v>OK</v>
      </c>
      <c r="G44" s="2">
        <v>12</v>
      </c>
      <c r="H44" s="2">
        <v>3000</v>
      </c>
      <c r="I44" s="2" t="str">
        <f t="shared" si="18"/>
        <v>OK</v>
      </c>
      <c r="J44" s="4"/>
      <c r="K44" s="4"/>
      <c r="L44" s="4"/>
      <c r="M44" s="4"/>
      <c r="N44" s="4"/>
      <c r="O44" s="4"/>
      <c r="P44" s="2">
        <v>50</v>
      </c>
      <c r="Q44" s="2">
        <v>105</v>
      </c>
      <c r="R44" s="2" t="str">
        <f t="shared" si="17"/>
        <v>OK</v>
      </c>
    </row>
  </sheetData>
  <phoneticPr fontId="1" type="noConversion"/>
  <conditionalFormatting sqref="F2:R44">
    <cfRule type="containsText" dxfId="14" priority="2" operator="containsText" text="KO">
      <formula>NOT(ISERROR(SEARCH("KO",F2)))</formula>
    </cfRule>
  </conditionalFormatting>
  <conditionalFormatting sqref="F2:R44">
    <cfRule type="containsText" dxfId="13" priority="1" operator="containsText" text="OK">
      <formula>NOT(ISERROR(SEARCH("OK",F2)))</formula>
    </cfRule>
  </conditionalFormatting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Valentin LEFEBVRE - Contractor</dc:creator>
  <cp:keywords/>
  <dc:description/>
  <cp:lastModifiedBy/>
  <cp:revision/>
  <dcterms:created xsi:type="dcterms:W3CDTF">2026-01-31T13:11:45Z</dcterms:created>
  <dcterms:modified xsi:type="dcterms:W3CDTF">2026-02-05T11:36:29Z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e3fe282-78a3-46c2-a95b-f1092c13d694_Enabled">
    <vt:lpwstr>true</vt:lpwstr>
  </property>
  <property fmtid="{D5CDD505-2E9C-101B-9397-08002B2CF9AE}" pid="3" name="MSIP_Label_9e3fe282-78a3-46c2-a95b-f1092c13d694_SetDate">
    <vt:lpwstr>2026-02-03T14:01:13Z</vt:lpwstr>
  </property>
  <property fmtid="{D5CDD505-2E9C-101B-9397-08002B2CF9AE}" pid="4" name="MSIP_Label_9e3fe282-78a3-46c2-a95b-f1092c13d694_Method">
    <vt:lpwstr>Privileged</vt:lpwstr>
  </property>
  <property fmtid="{D5CDD505-2E9C-101B-9397-08002B2CF9AE}" pid="5" name="MSIP_Label_9e3fe282-78a3-46c2-a95b-f1092c13d694_Name">
    <vt:lpwstr>THALES-CORE-07</vt:lpwstr>
  </property>
  <property fmtid="{D5CDD505-2E9C-101B-9397-08002B2CF9AE}" pid="6" name="MSIP_Label_9e3fe282-78a3-46c2-a95b-f1092c13d694_SiteId">
    <vt:lpwstr>6e603289-5e46-4e26-ac7c-03a85420a9a5</vt:lpwstr>
  </property>
  <property fmtid="{D5CDD505-2E9C-101B-9397-08002B2CF9AE}" pid="7" name="MSIP_Label_9e3fe282-78a3-46c2-a95b-f1092c13d694_ActionId">
    <vt:lpwstr>0f2d163b-3dc3-46d8-8270-41c382c7e882</vt:lpwstr>
  </property>
  <property fmtid="{D5CDD505-2E9C-101B-9397-08002B2CF9AE}" pid="8" name="MSIP_Label_9e3fe282-78a3-46c2-a95b-f1092c13d694_ContentBits">
    <vt:lpwstr>0</vt:lpwstr>
  </property>
  <property fmtid="{D5CDD505-2E9C-101B-9397-08002B2CF9AE}" pid="9" name="Thales-Sensitivity">
    <vt:lpwstr>{TGOPEN-UM}</vt:lpwstr>
  </property>
</Properties>
</file>