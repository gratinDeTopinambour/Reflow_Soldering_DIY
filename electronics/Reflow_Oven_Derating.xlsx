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xr:revisionPtr revIDLastSave="0" documentId="8_{AB8F2B11-06E5-4CA0-806F-32A7016E7B1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L10" i="1"/>
  <c r="H10" i="1"/>
  <c r="L6" i="1"/>
  <c r="L7" i="1"/>
  <c r="L2" i="1"/>
  <c r="L3" i="1"/>
  <c r="L5" i="1"/>
  <c r="L4" i="1"/>
  <c r="F28" i="1"/>
  <c r="F29" i="1"/>
  <c r="F30" i="1"/>
  <c r="F31" i="1"/>
  <c r="F32" i="1"/>
  <c r="F33" i="1"/>
  <c r="F34" i="1"/>
  <c r="F35" i="1"/>
  <c r="F8" i="1"/>
  <c r="F9" i="1"/>
  <c r="F12" i="1"/>
  <c r="F11" i="1"/>
  <c r="V3" i="1"/>
  <c r="V4" i="1"/>
  <c r="V5" i="1"/>
  <c r="V6" i="1"/>
  <c r="V7" i="1"/>
  <c r="V10" i="1"/>
  <c r="V11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6" i="1"/>
  <c r="V37" i="1"/>
  <c r="V38" i="1"/>
  <c r="V39" i="1"/>
  <c r="V40" i="1"/>
  <c r="V41" i="1"/>
  <c r="R10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36" i="1"/>
  <c r="R37" i="1"/>
  <c r="R38" i="1"/>
  <c r="R39" i="1"/>
  <c r="R40" i="1"/>
  <c r="R41" i="1"/>
  <c r="N3" i="1"/>
  <c r="F3" i="1" s="1"/>
  <c r="N4" i="1"/>
  <c r="F4" i="1" s="1"/>
  <c r="N5" i="1"/>
  <c r="F5" i="1" s="1"/>
  <c r="N6" i="1"/>
  <c r="F6" i="1" s="1"/>
  <c r="N7" i="1"/>
  <c r="F7" i="1" s="1"/>
  <c r="N10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36" i="1"/>
  <c r="N37" i="1"/>
  <c r="N38" i="1"/>
  <c r="N39" i="1"/>
  <c r="N40" i="1"/>
  <c r="N41" i="1"/>
  <c r="V2" i="1"/>
  <c r="N2" i="1"/>
  <c r="F2" i="1" s="1"/>
  <c r="J10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36" i="1"/>
  <c r="J37" i="1"/>
  <c r="J38" i="1"/>
  <c r="J39" i="1"/>
  <c r="J40" i="1"/>
  <c r="J41" i="1"/>
  <c r="F41" i="1" l="1"/>
  <c r="F40" i="1"/>
  <c r="F39" i="1"/>
  <c r="F38" i="1"/>
  <c r="F37" i="1"/>
  <c r="F36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0" i="1"/>
</calcChain>
</file>

<file path=xl/sharedStrings.xml><?xml version="1.0" encoding="utf-8"?>
<sst xmlns="http://schemas.openxmlformats.org/spreadsheetml/2006/main" count="197" uniqueCount="136">
  <si>
    <t>Reference</t>
  </si>
  <si>
    <t>Value</t>
  </si>
  <si>
    <t>Footprint</t>
  </si>
  <si>
    <t>part</t>
  </si>
  <si>
    <t>datasheet</t>
  </si>
  <si>
    <t>Valid</t>
  </si>
  <si>
    <t>derating value</t>
  </si>
  <si>
    <t>Current (A)</t>
  </si>
  <si>
    <t>Max Current (A)</t>
  </si>
  <si>
    <t>Current_valid</t>
  </si>
  <si>
    <t>derating value2</t>
  </si>
  <si>
    <t>Voltage (V)</t>
  </si>
  <si>
    <t>Max Voltage (V)</t>
  </si>
  <si>
    <t>Voltage_Valid</t>
  </si>
  <si>
    <t>derating value4</t>
  </si>
  <si>
    <t>Power (W)</t>
  </si>
  <si>
    <t>Max Power (W)</t>
  </si>
  <si>
    <t>Power_valid</t>
  </si>
  <si>
    <t>derating value6</t>
  </si>
  <si>
    <t>Temperature</t>
  </si>
  <si>
    <t>Max temperature</t>
  </si>
  <si>
    <t>Temp_valid</t>
  </si>
  <si>
    <t>C1</t>
  </si>
  <si>
    <t>100nF</t>
  </si>
  <si>
    <t>Capacitor_SMD:C_0805_2012Metric_Pad1.18x1.45mm_HandSolder</t>
  </si>
  <si>
    <t>C0805C104K5RACTU</t>
  </si>
  <si>
    <t>KEM_C1002_X7R_SMD.pdf</t>
  </si>
  <si>
    <t>C2</t>
  </si>
  <si>
    <t>C3</t>
  </si>
  <si>
    <t>C4</t>
  </si>
  <si>
    <t>4.7uF</t>
  </si>
  <si>
    <t>C0805C475K3RACTU</t>
  </si>
  <si>
    <t>C5</t>
  </si>
  <si>
    <t>10uF</t>
  </si>
  <si>
    <t>C0805C106K3PACTU</t>
  </si>
  <si>
    <t>KEM_C1006_X5R_SMD.pdf</t>
  </si>
  <si>
    <t>C6</t>
  </si>
  <si>
    <t>D1</t>
  </si>
  <si>
    <t>RED_LED</t>
  </si>
  <si>
    <t>LED_THT:LED_D5.0mm</t>
  </si>
  <si>
    <t>D2</t>
  </si>
  <si>
    <t>GREEN_LED</t>
  </si>
  <si>
    <t>D3</t>
  </si>
  <si>
    <t>POWER_LED</t>
  </si>
  <si>
    <t>LED_SMD:LED_1206_3216Metric_Pad1.42x1.75mm_HandSolder</t>
  </si>
  <si>
    <t>QTLP650C4TR/FC15-21SYGC/S530-E2/TR8</t>
  </si>
  <si>
    <t>DSE-0031723-QTLP650C4TR-FC15-21SYGC-S530-E2-TR8 -V1.pdf</t>
  </si>
  <si>
    <t>HS1</t>
  </si>
  <si>
    <t>HEAT_SINK</t>
  </si>
  <si>
    <t>530002B02500G</t>
  </si>
  <si>
    <t>Boyd-Board-Level-Heatsinks-Catalog.pdf</t>
  </si>
  <si>
    <t>J1</t>
  </si>
  <si>
    <t>Conn_01x04_Pin</t>
  </si>
  <si>
    <t>Connector_PinHeader_2.54mm:PinHeader_1x04_P2.54mm_Vertical</t>
  </si>
  <si>
    <t>J2</t>
  </si>
  <si>
    <t>OLED_Display</t>
  </si>
  <si>
    <t>oled display ruizhi 0.96</t>
  </si>
  <si>
    <t>J3</t>
  </si>
  <si>
    <t>USB_C_Receptacle_PowerOnly_6P</t>
  </si>
  <si>
    <t>Connector_USB:USB_C_Receptacle_GCT_USB4125-xx-x-0190_6P_TopMnt_Horizontal</t>
  </si>
  <si>
    <t>USB4125-GF-A</t>
  </si>
  <si>
    <t>usb4125-spec.pdf</t>
  </si>
  <si>
    <t>Q1</t>
  </si>
  <si>
    <t>BTA16-600BW/CW</t>
  </si>
  <si>
    <t>Package_TO_SOT_THT:TO-220-3_Vertical</t>
  </si>
  <si>
    <t>BTA16-600CWRG</t>
  </si>
  <si>
    <t>bta16.pdf</t>
  </si>
  <si>
    <t>R1</t>
  </si>
  <si>
    <t>1100ohm</t>
  </si>
  <si>
    <t>Resistor_THT:R_Axial_DIN0309_L9.0mm_D3.2mm_P12.70mm_Horizontal</t>
  </si>
  <si>
    <t>CFR-50JB-52-1K1</t>
  </si>
  <si>
    <t>YAGEO-CFR_DATASHEET.pdf</t>
  </si>
  <si>
    <t>R2</t>
  </si>
  <si>
    <t>R3</t>
  </si>
  <si>
    <t>R4</t>
  </si>
  <si>
    <t>1800ohm</t>
  </si>
  <si>
    <t>Resistor_SMD:R_0805_2012Metric_Pad1.20x1.40mm_HandSolder</t>
  </si>
  <si>
    <t>ERA-6AEB182V</t>
  </si>
  <si>
    <t>R1800_panasonic.pdf</t>
  </si>
  <si>
    <t>R5</t>
  </si>
  <si>
    <t>150ohm</t>
  </si>
  <si>
    <t>CRCW0805150RFKEA</t>
  </si>
  <si>
    <t>resistor_vishay.pdf</t>
  </si>
  <si>
    <t>R6</t>
  </si>
  <si>
    <t>R7</t>
  </si>
  <si>
    <t>R12</t>
  </si>
  <si>
    <t>R8</t>
  </si>
  <si>
    <t>10kohm</t>
  </si>
  <si>
    <t>CRCW080510K0FKEA</t>
  </si>
  <si>
    <t>R9</t>
  </si>
  <si>
    <t>R10</t>
  </si>
  <si>
    <t>5.1kohm</t>
  </si>
  <si>
    <t>CRCW08055K10FKEA</t>
  </si>
  <si>
    <t>R11</t>
  </si>
  <si>
    <t>SW1</t>
  </si>
  <si>
    <t>Button_Switch_THT:SW_PUSH_6mm_H5mm</t>
  </si>
  <si>
    <t>SW2</t>
  </si>
  <si>
    <t>Up</t>
  </si>
  <si>
    <t>SW3</t>
  </si>
  <si>
    <t>Down</t>
  </si>
  <si>
    <t>SW4</t>
  </si>
  <si>
    <t>Left</t>
  </si>
  <si>
    <t>SW5</t>
  </si>
  <si>
    <t>Right</t>
  </si>
  <si>
    <t>SW6</t>
  </si>
  <si>
    <t>return</t>
  </si>
  <si>
    <t>SW7</t>
  </si>
  <si>
    <t>NRST</t>
  </si>
  <si>
    <t>SW8</t>
  </si>
  <si>
    <t>BOOT0</t>
  </si>
  <si>
    <t>TH1</t>
  </si>
  <si>
    <t>Thermistor_NTC</t>
  </si>
  <si>
    <t>Resistor_THT:R_Axial_DIN0204_L3.6mm_D1.6mm_P2.54mm_Vertical</t>
  </si>
  <si>
    <t>NRBG105F3950B1F</t>
  </si>
  <si>
    <t>eaton-nrbg-glass-sealed-radial-lead-ntc-thermistor-datasheet-elx1105-en.pdf</t>
  </si>
  <si>
    <t>U1</t>
  </si>
  <si>
    <t>MOC3063M</t>
  </si>
  <si>
    <t>Package_DIP:DIP-6_W7.62mm_LongPads</t>
  </si>
  <si>
    <t>MOC3163M-D.pdf</t>
  </si>
  <si>
    <t>U2</t>
  </si>
  <si>
    <t>STM32C011F6Px</t>
  </si>
  <si>
    <t>Package_SO:TSSOP-20_4.4x6.5mm_P0.65mm</t>
  </si>
  <si>
    <t>STM32C011F6P6</t>
  </si>
  <si>
    <t>stm32c011f6.pdf</t>
  </si>
  <si>
    <t>STM32C031F6Px</t>
  </si>
  <si>
    <t>STM32C031F6P6</t>
  </si>
  <si>
    <t>U4</t>
  </si>
  <si>
    <t>LD1117S33TR_SOT223</t>
  </si>
  <si>
    <t>Package_TO_SOT_SMD:SOT-223-3_TabPin2</t>
  </si>
  <si>
    <t>LD1117S33TR</t>
  </si>
  <si>
    <t>LD1117.pdf</t>
  </si>
  <si>
    <t>Vdr1</t>
  </si>
  <si>
    <t>S14K230</t>
  </si>
  <si>
    <t>Varistor:RV_Disc_D15.5mm_W7.5mm_P7.5mm</t>
  </si>
  <si>
    <t>B72214S0231K101</t>
  </si>
  <si>
    <t>SIOV_Leaded_StandarD.pdf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</si>
</sst>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10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9" fontId="0" fillId="2" borderId="0" xfId="0" applyNumberFormat="1" applyFill="1" applyAlignment="1">
      <alignment horizontal="center"/>
    </xf>
  </cellXfs>
  <cellStyles count="1">
    <cellStyle name="Normal" xfId="0" builtinId="0"/>
  </cellStyles>
  <dxfs count="19">
    <dxf>
      <alignment horizontal="center"/>
    </dxf>
    <dxf>
      <alignment horizontal="center"/>
    </dxf>
    <dxf>
      <alignment horizontal="center"/>
    </dxf>
    <dxf>
      <numFmt numFmtId="13" formatCode="0%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3" formatCode="0%"/>
      <alignment horizontal="center"/>
    </dxf>
    <dxf>
      <alignment horizontal="center"/>
    </dxf>
    <dxf>
      <alignment horizontal="center"/>
    </dxf>
    <dxf>
      <alignment horizontal="center"/>
    </dxf>
    <dxf>
      <numFmt numFmtId="13" formatCode="0%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3" formatCode="0%"/>
      <alignment horizontal="center"/>
    </dxf>
    <dxf>
      <alignment horizontal="center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3C7EDB-74A7-486B-BD70-F8830EC29E7B}" name="Tableau1" displayName="Tableau1" ref="A1:V41" totalsRowShown="0">
  <autoFilter ref="A1:V41" xr:uid="{5B3C7EDB-74A7-486B-BD70-F8830EC29E7B}"/>
  <tableColumns count="22">
    <tableColumn id="1" xr3:uid="{C770BCD5-EE2C-451C-A08B-DF6391DC9BDD}" name="Reference"/>
    <tableColumn id="2" xr3:uid="{3CE6D159-4DBD-4FBC-8AE6-386EE2851856}" name="Value"/>
    <tableColumn id="3" xr3:uid="{06E793FA-BA20-4C5E-8F80-C2EF5FE5177B}" name="Footprint"/>
    <tableColumn id="4" xr3:uid="{483A4DA5-837B-4FE9-B43C-BDEC1194BB44}" name="part"/>
    <tableColumn id="22" xr3:uid="{CD0E5CEA-399E-4978-BF1F-556055207F59}" name="datasheet"/>
    <tableColumn id="5" xr3:uid="{054A5256-12A4-436C-AE80-BCCEB3219EEB}" name="Valid" dataDxfId="16">
      <calculatedColumnFormula>IF(AND(J2="OK",N2="OK",R2="OK",V2="OK"),"OK","KO")</calculatedColumnFormula>
    </tableColumn>
    <tableColumn id="6" xr3:uid="{5CE78EE6-9A29-4A68-A0B0-21A2E9F80113}" name="derating value" dataDxfId="15"/>
    <tableColumn id="7" xr3:uid="{59B76285-15E2-4307-B6C6-B680E2790456}" name="Current (A)" dataDxfId="14">
      <calculatedColumnFormula>(3.3*1.05 - 1.7)/(110*0.99)</calculatedColumnFormula>
    </tableColumn>
    <tableColumn id="8" xr3:uid="{3E61A11C-3022-44B5-9EE7-222FEFA539A2}" name="Max Current (A)" dataDxfId="13"/>
    <tableColumn id="9" xr3:uid="{4ED6F584-5713-4B90-8089-240BD3918657}" name="Current_valid" dataDxfId="12">
      <calculatedColumnFormula>IF(OR(H2="",I2=""),"KO",IF(H2&lt;(I2*G2),"OK","KO"))</calculatedColumnFormula>
    </tableColumn>
    <tableColumn id="10" xr3:uid="{2BB471CE-17B5-48FF-ACE3-283D32994C0E}" name="derating value2" dataDxfId="11"/>
    <tableColumn id="11" xr3:uid="{0875E5A2-0BF2-45DF-965B-23C4487AF6E5}" name="Voltage (V)" dataDxfId="10"/>
    <tableColumn id="12" xr3:uid="{403D8F8F-738A-41E1-8DA3-03AA720D0759}" name="Max Voltage (V)" dataDxfId="9"/>
    <tableColumn id="13" xr3:uid="{EB22319B-B1EC-48F3-A9D6-73F4AD8F191F}" name="Voltage_Valid" dataDxfId="8">
      <calculatedColumnFormula>IF(OR(L2="",M2=""),"KO",IF(L2&lt;(M2*K2),"OK","KO"))</calculatedColumnFormula>
    </tableColumn>
    <tableColumn id="14" xr3:uid="{8B9A8F86-6ECD-479C-A94F-55137F96EEDB}" name="derating value4" dataDxfId="7"/>
    <tableColumn id="15" xr3:uid="{DFF383E3-0C80-4608-8E7A-2BE1BA947933}" name="Power (W)" dataDxfId="6">
      <calculatedColumnFormula>Tableau1[[#This Row],[Voltage (V)]]*Tableau1[[#This Row],[Current (A)]]</calculatedColumnFormula>
    </tableColumn>
    <tableColumn id="16" xr3:uid="{B68B9119-2FB3-4C9F-A927-1B33E72F3171}" name="Max Power (W)" dataDxfId="5"/>
    <tableColumn id="17" xr3:uid="{4A834094-ED25-463F-9FFB-1DA66A13294A}" name="Power_valid" dataDxfId="4">
      <calculatedColumnFormula>IF(OR(P2="",Q2=""),"KO",IF(P2&lt;(Q2*O2),"OK","KO"))</calculatedColumnFormula>
    </tableColumn>
    <tableColumn id="18" xr3:uid="{73EFED9C-1049-44E0-8A35-C79D14D1CFC4}" name="derating value6" dataDxfId="3"/>
    <tableColumn id="19" xr3:uid="{D8A2F795-1CBE-4C33-AD35-636873CB006C}" name="Temperature" dataDxfId="2"/>
    <tableColumn id="20" xr3:uid="{078F05B0-9A3F-45E5-A6F2-4360E626F6AF}" name="Max temperature" dataDxfId="1"/>
    <tableColumn id="21" xr3:uid="{4533E791-CECA-4065-BBF6-6249E73C7FE0}" name="Temp_valid" dataDxfId="0">
      <calculatedColumnFormula>IF(OR(T2="",U2=""),"KO",IF(T2&lt;(U2*S2),"OK","KO"))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1"/>
  <sheetViews>
    <sheetView tabSelected="1" workbookViewId="0">
      <pane xSplit="2" ySplit="1" topLeftCell="K2" activePane="bottomRight" state="frozen"/>
      <selection pane="bottomRight" activeCell="T11" sqref="T11"/>
      <selection pane="bottomLeft"/>
      <selection pane="topRight"/>
    </sheetView>
  </sheetViews>
  <sheetFormatPr defaultRowHeight="15"/>
  <cols>
    <col min="1" max="1" width="12.28515625" bestFit="1" customWidth="1"/>
    <col min="2" max="2" width="30.5703125" bestFit="1" customWidth="1"/>
    <col min="3" max="3" width="73.85546875" bestFit="1" customWidth="1"/>
    <col min="4" max="4" width="22.85546875" customWidth="1"/>
    <col min="5" max="5" width="34.42578125" customWidth="1"/>
    <col min="6" max="6" width="11.7109375" bestFit="1" customWidth="1"/>
    <col min="7" max="7" width="9.7109375" style="2" customWidth="1"/>
    <col min="8" max="8" width="13.7109375" bestFit="1" customWidth="1"/>
    <col min="9" max="9" width="16.85546875" bestFit="1" customWidth="1"/>
    <col min="10" max="10" width="14.140625" customWidth="1"/>
    <col min="11" max="11" width="8.85546875" style="2" customWidth="1"/>
    <col min="12" max="12" width="12.85546875" bestFit="1" customWidth="1"/>
    <col min="13" max="13" width="16.7109375" bestFit="1" customWidth="1"/>
    <col min="14" max="14" width="14" customWidth="1"/>
    <col min="15" max="15" width="9.42578125" style="2" customWidth="1"/>
    <col min="16" max="16" width="12.85546875" bestFit="1" customWidth="1"/>
    <col min="17" max="17" width="16.140625" bestFit="1" customWidth="1"/>
    <col min="18" max="18" width="13.85546875" bestFit="1" customWidth="1"/>
    <col min="19" max="19" width="8.85546875" style="2" customWidth="1"/>
    <col min="20" max="20" width="14.5703125" bestFit="1" customWidth="1"/>
    <col min="21" max="21" width="18.28515625" bestFit="1" customWidth="1"/>
    <col min="22" max="22" width="13.140625" bestFit="1" customWidth="1"/>
  </cols>
  <sheetData>
    <row r="1" spans="1:22" ht="29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  <c r="N1" s="1" t="s">
        <v>13</v>
      </c>
      <c r="O1" s="1" t="s">
        <v>14</v>
      </c>
      <c r="P1" t="s">
        <v>15</v>
      </c>
      <c r="Q1" t="s">
        <v>16</v>
      </c>
      <c r="R1" t="s">
        <v>17</v>
      </c>
      <c r="S1" s="1" t="s">
        <v>18</v>
      </c>
      <c r="T1" t="s">
        <v>19</v>
      </c>
      <c r="U1" t="s">
        <v>20</v>
      </c>
      <c r="V1" t="s">
        <v>21</v>
      </c>
    </row>
    <row r="2" spans="1:22">
      <c r="A2" t="s">
        <v>22</v>
      </c>
      <c r="B2" t="s">
        <v>23</v>
      </c>
      <c r="C2" t="s">
        <v>24</v>
      </c>
      <c r="D2" t="s">
        <v>25</v>
      </c>
      <c r="E2" t="s">
        <v>26</v>
      </c>
      <c r="F2" s="3" t="str">
        <f t="shared" ref="F2:F9" si="0">IF(OR(J2="KO",N2="KO",R2="KO",V2="KO"),"KO","OK")</f>
        <v>OK</v>
      </c>
      <c r="G2" s="6"/>
      <c r="H2" s="5"/>
      <c r="I2" s="5"/>
      <c r="J2" s="5"/>
      <c r="K2" s="4">
        <v>0.6</v>
      </c>
      <c r="L2" s="3">
        <f t="shared" ref="L2:L3" si="1">3.3*1.05</f>
        <v>3.4649999999999999</v>
      </c>
      <c r="M2" s="3">
        <v>50</v>
      </c>
      <c r="N2" s="3" t="str">
        <f>IF(OR(L2="",M2=""),"KO",IF(L2&lt;(M2*K2),"OK","KO"))</f>
        <v>OK</v>
      </c>
      <c r="O2" s="6"/>
      <c r="P2" s="5">
        <f>Tableau1[[#This Row],[Voltage (V)]]*Tableau1[[#This Row],[Current (A)]]</f>
        <v>0</v>
      </c>
      <c r="Q2" s="5"/>
      <c r="R2" s="5"/>
      <c r="S2" s="4">
        <v>0.9</v>
      </c>
      <c r="T2" s="3">
        <v>50</v>
      </c>
      <c r="U2" s="3">
        <v>125</v>
      </c>
      <c r="V2" s="3" t="str">
        <f>IF(OR(T2="",U2=""),"KO",IF(T2&lt;(U2*S2),"OK","KO"))</f>
        <v>OK</v>
      </c>
    </row>
    <row r="3" spans="1:22">
      <c r="A3" t="s">
        <v>27</v>
      </c>
      <c r="B3" t="s">
        <v>23</v>
      </c>
      <c r="C3" t="s">
        <v>24</v>
      </c>
      <c r="D3" t="s">
        <v>25</v>
      </c>
      <c r="E3" t="s">
        <v>26</v>
      </c>
      <c r="F3" s="3" t="str">
        <f t="shared" si="0"/>
        <v>OK</v>
      </c>
      <c r="G3" s="6"/>
      <c r="H3" s="5"/>
      <c r="I3" s="5"/>
      <c r="J3" s="5"/>
      <c r="K3" s="4">
        <v>0.6</v>
      </c>
      <c r="L3" s="3">
        <f t="shared" si="1"/>
        <v>3.4649999999999999</v>
      </c>
      <c r="M3" s="3">
        <v>50</v>
      </c>
      <c r="N3" s="3" t="str">
        <f t="shared" ref="N3:N41" si="2">IF(OR(L3="",M3=""),"KO",IF(L3&lt;(M3*K3),"OK","KO"))</f>
        <v>OK</v>
      </c>
      <c r="O3" s="6"/>
      <c r="P3" s="5">
        <f>Tableau1[[#This Row],[Voltage (V)]]*Tableau1[[#This Row],[Current (A)]]</f>
        <v>0</v>
      </c>
      <c r="Q3" s="5"/>
      <c r="R3" s="5"/>
      <c r="S3" s="4">
        <v>0.9</v>
      </c>
      <c r="T3" s="3">
        <v>50</v>
      </c>
      <c r="U3" s="3">
        <v>125</v>
      </c>
      <c r="V3" s="3" t="str">
        <f t="shared" ref="V3:V41" si="3">IF(OR(T3="",U3=""),"KO",IF(T3&lt;(U3*S3),"OK","KO"))</f>
        <v>OK</v>
      </c>
    </row>
    <row r="4" spans="1:22">
      <c r="A4" t="s">
        <v>28</v>
      </c>
      <c r="B4" t="s">
        <v>23</v>
      </c>
      <c r="C4" t="s">
        <v>24</v>
      </c>
      <c r="D4" t="s">
        <v>25</v>
      </c>
      <c r="E4" t="s">
        <v>26</v>
      </c>
      <c r="F4" s="3" t="str">
        <f t="shared" si="0"/>
        <v>OK</v>
      </c>
      <c r="G4" s="6"/>
      <c r="H4" s="5"/>
      <c r="I4" s="5"/>
      <c r="J4" s="5"/>
      <c r="K4" s="4">
        <v>0.6</v>
      </c>
      <c r="L4" s="3">
        <f>3.3*1.05</f>
        <v>3.4649999999999999</v>
      </c>
      <c r="M4" s="3">
        <v>50</v>
      </c>
      <c r="N4" s="3" t="str">
        <f t="shared" si="2"/>
        <v>OK</v>
      </c>
      <c r="O4" s="6"/>
      <c r="P4" s="5">
        <f>Tableau1[[#This Row],[Voltage (V)]]*Tableau1[[#This Row],[Current (A)]]</f>
        <v>0</v>
      </c>
      <c r="Q4" s="5"/>
      <c r="R4" s="5"/>
      <c r="S4" s="4">
        <v>0.9</v>
      </c>
      <c r="T4" s="3">
        <v>50</v>
      </c>
      <c r="U4" s="3">
        <v>125</v>
      </c>
      <c r="V4" s="3" t="str">
        <f t="shared" si="3"/>
        <v>OK</v>
      </c>
    </row>
    <row r="5" spans="1:22">
      <c r="A5" t="s">
        <v>29</v>
      </c>
      <c r="B5" t="s">
        <v>30</v>
      </c>
      <c r="C5" t="s">
        <v>24</v>
      </c>
      <c r="D5" t="s">
        <v>31</v>
      </c>
      <c r="E5" t="s">
        <v>26</v>
      </c>
      <c r="F5" s="3" t="str">
        <f t="shared" si="0"/>
        <v>OK</v>
      </c>
      <c r="G5" s="6"/>
      <c r="H5" s="5"/>
      <c r="I5" s="5"/>
      <c r="J5" s="5"/>
      <c r="K5" s="4">
        <v>0.6</v>
      </c>
      <c r="L5" s="3">
        <f>3.3*1.05</f>
        <v>3.4649999999999999</v>
      </c>
      <c r="M5" s="3">
        <v>25</v>
      </c>
      <c r="N5" s="3" t="str">
        <f t="shared" si="2"/>
        <v>OK</v>
      </c>
      <c r="O5" s="6"/>
      <c r="P5" s="5">
        <f>Tableau1[[#This Row],[Voltage (V)]]*Tableau1[[#This Row],[Current (A)]]</f>
        <v>0</v>
      </c>
      <c r="Q5" s="5"/>
      <c r="R5" s="5"/>
      <c r="S5" s="4">
        <v>0.9</v>
      </c>
      <c r="T5" s="3">
        <v>50</v>
      </c>
      <c r="U5" s="3">
        <v>125</v>
      </c>
      <c r="V5" s="3" t="str">
        <f t="shared" si="3"/>
        <v>OK</v>
      </c>
    </row>
    <row r="6" spans="1:22">
      <c r="A6" t="s">
        <v>32</v>
      </c>
      <c r="B6" t="s">
        <v>33</v>
      </c>
      <c r="C6" t="s">
        <v>24</v>
      </c>
      <c r="D6" t="s">
        <v>34</v>
      </c>
      <c r="E6" t="s">
        <v>35</v>
      </c>
      <c r="F6" s="3" t="str">
        <f t="shared" si="0"/>
        <v>OK</v>
      </c>
      <c r="G6" s="6"/>
      <c r="H6" s="5"/>
      <c r="I6" s="5"/>
      <c r="J6" s="5"/>
      <c r="K6" s="4">
        <v>0.6</v>
      </c>
      <c r="L6" s="3">
        <f>5*1.05</f>
        <v>5.25</v>
      </c>
      <c r="M6" s="3">
        <v>25</v>
      </c>
      <c r="N6" s="3" t="str">
        <f t="shared" si="2"/>
        <v>OK</v>
      </c>
      <c r="O6" s="6"/>
      <c r="P6" s="5">
        <f>Tableau1[[#This Row],[Voltage (V)]]*Tableau1[[#This Row],[Current (A)]]</f>
        <v>0</v>
      </c>
      <c r="Q6" s="5"/>
      <c r="R6" s="5"/>
      <c r="S6" s="4">
        <v>0.9</v>
      </c>
      <c r="T6" s="3">
        <v>50</v>
      </c>
      <c r="U6" s="3">
        <v>85</v>
      </c>
      <c r="V6" s="3" t="str">
        <f t="shared" si="3"/>
        <v>OK</v>
      </c>
    </row>
    <row r="7" spans="1:22">
      <c r="A7" t="s">
        <v>36</v>
      </c>
      <c r="B7" t="s">
        <v>33</v>
      </c>
      <c r="C7" t="s">
        <v>24</v>
      </c>
      <c r="D7" t="s">
        <v>34</v>
      </c>
      <c r="E7" t="s">
        <v>35</v>
      </c>
      <c r="F7" s="3" t="str">
        <f t="shared" si="0"/>
        <v>OK</v>
      </c>
      <c r="G7" s="6"/>
      <c r="H7" s="5"/>
      <c r="I7" s="5"/>
      <c r="J7" s="5"/>
      <c r="K7" s="4">
        <v>0.6</v>
      </c>
      <c r="L7" s="3">
        <f>3.3*1.05</f>
        <v>3.4649999999999999</v>
      </c>
      <c r="M7" s="3">
        <v>25</v>
      </c>
      <c r="N7" s="3" t="str">
        <f t="shared" si="2"/>
        <v>OK</v>
      </c>
      <c r="O7" s="6"/>
      <c r="P7" s="5">
        <f>Tableau1[[#This Row],[Voltage (V)]]*Tableau1[[#This Row],[Current (A)]]</f>
        <v>0</v>
      </c>
      <c r="Q7" s="5"/>
      <c r="R7" s="5"/>
      <c r="S7" s="4">
        <v>0.9</v>
      </c>
      <c r="T7" s="3">
        <v>50</v>
      </c>
      <c r="U7" s="3">
        <v>85</v>
      </c>
      <c r="V7" s="3" t="str">
        <f t="shared" si="3"/>
        <v>OK</v>
      </c>
    </row>
    <row r="8" spans="1:22">
      <c r="A8" t="s">
        <v>37</v>
      </c>
      <c r="B8" t="s">
        <v>38</v>
      </c>
      <c r="C8" t="s">
        <v>39</v>
      </c>
      <c r="F8" s="3" t="str">
        <f t="shared" si="0"/>
        <v>OK</v>
      </c>
      <c r="G8" s="6"/>
      <c r="H8" s="5"/>
      <c r="I8" s="5"/>
      <c r="J8" s="5"/>
      <c r="K8" s="6"/>
      <c r="L8" s="5"/>
      <c r="M8" s="5"/>
      <c r="N8" s="5"/>
      <c r="O8" s="6"/>
      <c r="P8" s="5">
        <f>Tableau1[[#This Row],[Voltage (V)]]*Tableau1[[#This Row],[Current (A)]]</f>
        <v>0</v>
      </c>
      <c r="Q8" s="5"/>
      <c r="R8" s="5"/>
      <c r="S8" s="6"/>
      <c r="T8" s="5"/>
      <c r="U8" s="5"/>
      <c r="V8" s="5"/>
    </row>
    <row r="9" spans="1:22" ht="15.75" customHeight="1">
      <c r="A9" t="s">
        <v>40</v>
      </c>
      <c r="B9" t="s">
        <v>41</v>
      </c>
      <c r="C9" t="s">
        <v>39</v>
      </c>
      <c r="F9" s="3" t="str">
        <f t="shared" si="0"/>
        <v>OK</v>
      </c>
      <c r="G9" s="6"/>
      <c r="H9" s="5"/>
      <c r="I9" s="5"/>
      <c r="J9" s="5"/>
      <c r="K9" s="6"/>
      <c r="L9" s="5"/>
      <c r="M9" s="5"/>
      <c r="N9" s="5"/>
      <c r="O9" s="6"/>
      <c r="P9" s="5">
        <f>Tableau1[[#This Row],[Voltage (V)]]*Tableau1[[#This Row],[Current (A)]]</f>
        <v>0</v>
      </c>
      <c r="Q9" s="5"/>
      <c r="R9" s="5"/>
      <c r="S9" s="6"/>
      <c r="T9" s="5"/>
      <c r="U9" s="5"/>
      <c r="V9" s="5"/>
    </row>
    <row r="10" spans="1:22" ht="29.25" customHeight="1">
      <c r="A10" t="s">
        <v>42</v>
      </c>
      <c r="B10" t="s">
        <v>43</v>
      </c>
      <c r="C10" t="s">
        <v>44</v>
      </c>
      <c r="D10" s="1" t="s">
        <v>45</v>
      </c>
      <c r="E10" s="1" t="s">
        <v>46</v>
      </c>
      <c r="F10" s="3" t="str">
        <f>IF(OR(J10="KO",N10="KO",R10="KO",V10="KO"),"KO","OK")</f>
        <v>OK</v>
      </c>
      <c r="G10" s="4">
        <v>0.8</v>
      </c>
      <c r="H10" s="3">
        <f>(3.3*1.05 - 1.7)/(150*0.99)</f>
        <v>1.1885521885521885E-2</v>
      </c>
      <c r="I10" s="3">
        <v>1.4999999999999999E-2</v>
      </c>
      <c r="J10" s="3" t="str">
        <f t="shared" ref="J3:J41" si="4">IF(OR(H10="",I10=""),"KO",IF(H10&lt;(I10*G10),"OK","KO"))</f>
        <v>OK</v>
      </c>
      <c r="K10" s="4">
        <v>0.8</v>
      </c>
      <c r="L10" s="3">
        <f>3.3*1.05</f>
        <v>3.4649999999999999</v>
      </c>
      <c r="M10" s="3">
        <v>5</v>
      </c>
      <c r="N10" s="3" t="str">
        <f t="shared" si="2"/>
        <v>OK</v>
      </c>
      <c r="O10" s="4">
        <v>0.8</v>
      </c>
      <c r="P10" s="3">
        <f>Tableau1[[#This Row],[Voltage (V)]]*Tableau1[[#This Row],[Current (A)]]</f>
        <v>4.1183333333333329E-2</v>
      </c>
      <c r="Q10" s="3">
        <v>0.06</v>
      </c>
      <c r="R10" s="3" t="str">
        <f t="shared" ref="R3:R41" si="5">IF(OR(P10="",Q10=""),"KO",IF(P10&lt;(Q10*O10),"OK","KO"))</f>
        <v>OK</v>
      </c>
      <c r="S10" s="4">
        <v>0.9</v>
      </c>
      <c r="T10" s="3">
        <v>50</v>
      </c>
      <c r="U10" s="3">
        <v>85</v>
      </c>
      <c r="V10" s="3" t="str">
        <f t="shared" si="3"/>
        <v>OK</v>
      </c>
    </row>
    <row r="11" spans="1:22">
      <c r="A11" t="s">
        <v>47</v>
      </c>
      <c r="B11" t="s">
        <v>48</v>
      </c>
      <c r="C11" t="s">
        <v>49</v>
      </c>
      <c r="D11" t="s">
        <v>49</v>
      </c>
      <c r="E11" t="s">
        <v>50</v>
      </c>
      <c r="F11" s="3" t="str">
        <f>IF(OR(J11="KO",N11="KO",R11="KO",V11="KO"),"KO","OK")</f>
        <v>KO</v>
      </c>
      <c r="G11" s="6"/>
      <c r="H11" s="5"/>
      <c r="I11" s="5"/>
      <c r="J11" s="5"/>
      <c r="K11" s="6"/>
      <c r="L11" s="5"/>
      <c r="M11" s="5"/>
      <c r="N11" s="5"/>
      <c r="O11" s="6"/>
      <c r="P11" s="5">
        <f>Tableau1[[#This Row],[Voltage (V)]]*Tableau1[[#This Row],[Current (A)]]</f>
        <v>0</v>
      </c>
      <c r="Q11" s="5"/>
      <c r="R11" s="5"/>
      <c r="S11" s="4">
        <v>0.9</v>
      </c>
      <c r="T11" s="3"/>
      <c r="U11" s="3"/>
      <c r="V11" s="3" t="str">
        <f t="shared" si="3"/>
        <v>KO</v>
      </c>
    </row>
    <row r="12" spans="1:22">
      <c r="A12" t="s">
        <v>51</v>
      </c>
      <c r="B12" t="s">
        <v>52</v>
      </c>
      <c r="C12" t="s">
        <v>53</v>
      </c>
      <c r="F12" s="3" t="str">
        <f t="shared" ref="F12:F41" si="6">IF(OR(J12="KO",N12="KO",R12="KO",V12="KO"),"KO","OK")</f>
        <v>OK</v>
      </c>
      <c r="G12" s="6"/>
      <c r="H12" s="5"/>
      <c r="I12" s="5"/>
      <c r="J12" s="5"/>
      <c r="K12" s="6"/>
      <c r="L12" s="5"/>
      <c r="M12" s="5"/>
      <c r="N12" s="5"/>
      <c r="O12" s="6"/>
      <c r="P12" s="5">
        <f>Tableau1[[#This Row],[Voltage (V)]]*Tableau1[[#This Row],[Current (A)]]</f>
        <v>0</v>
      </c>
      <c r="Q12" s="5"/>
      <c r="R12" s="5"/>
      <c r="S12" s="6"/>
      <c r="T12" s="5"/>
      <c r="U12" s="5"/>
      <c r="V12" s="5"/>
    </row>
    <row r="13" spans="1:22">
      <c r="A13" t="s">
        <v>54</v>
      </c>
      <c r="B13" t="s">
        <v>55</v>
      </c>
      <c r="C13" t="s">
        <v>53</v>
      </c>
      <c r="D13" t="s">
        <v>56</v>
      </c>
      <c r="F13" s="3" t="str">
        <f t="shared" si="6"/>
        <v>KO</v>
      </c>
      <c r="G13" s="4">
        <v>0.8</v>
      </c>
      <c r="H13" s="3"/>
      <c r="I13" s="3"/>
      <c r="J13" s="3" t="str">
        <f t="shared" si="4"/>
        <v>KO</v>
      </c>
      <c r="K13" s="4">
        <v>0.8</v>
      </c>
      <c r="L13" s="3"/>
      <c r="M13" s="3"/>
      <c r="N13" s="3" t="str">
        <f t="shared" si="2"/>
        <v>KO</v>
      </c>
      <c r="O13" s="4">
        <v>0.8</v>
      </c>
      <c r="P13" s="3">
        <f>Tableau1[[#This Row],[Voltage (V)]]*Tableau1[[#This Row],[Current (A)]]</f>
        <v>0</v>
      </c>
      <c r="Q13" s="3"/>
      <c r="R13" s="3" t="str">
        <f t="shared" si="5"/>
        <v>KO</v>
      </c>
      <c r="S13" s="4">
        <v>0.9</v>
      </c>
      <c r="T13" s="3"/>
      <c r="U13" s="3"/>
      <c r="V13" s="3" t="str">
        <f t="shared" si="3"/>
        <v>KO</v>
      </c>
    </row>
    <row r="14" spans="1:22">
      <c r="A14" t="s">
        <v>57</v>
      </c>
      <c r="B14" t="s">
        <v>58</v>
      </c>
      <c r="C14" t="s">
        <v>59</v>
      </c>
      <c r="D14" t="s">
        <v>60</v>
      </c>
      <c r="E14" t="s">
        <v>61</v>
      </c>
      <c r="F14" s="3" t="str">
        <f t="shared" si="6"/>
        <v>KO</v>
      </c>
      <c r="G14" s="4">
        <v>0.8</v>
      </c>
      <c r="H14" s="3"/>
      <c r="I14" s="3"/>
      <c r="J14" s="3" t="str">
        <f t="shared" si="4"/>
        <v>KO</v>
      </c>
      <c r="K14" s="4">
        <v>0.8</v>
      </c>
      <c r="L14" s="3"/>
      <c r="M14" s="3"/>
      <c r="N14" s="3" t="str">
        <f t="shared" si="2"/>
        <v>KO</v>
      </c>
      <c r="O14" s="4">
        <v>0.8</v>
      </c>
      <c r="P14" s="3">
        <f>Tableau1[[#This Row],[Voltage (V)]]*Tableau1[[#This Row],[Current (A)]]</f>
        <v>0</v>
      </c>
      <c r="Q14" s="3"/>
      <c r="R14" s="3" t="str">
        <f t="shared" si="5"/>
        <v>KO</v>
      </c>
      <c r="S14" s="4">
        <v>0.9</v>
      </c>
      <c r="T14" s="3"/>
      <c r="U14" s="3"/>
      <c r="V14" s="3" t="str">
        <f t="shared" si="3"/>
        <v>KO</v>
      </c>
    </row>
    <row r="15" spans="1:22">
      <c r="A15" t="s">
        <v>62</v>
      </c>
      <c r="B15" t="s">
        <v>63</v>
      </c>
      <c r="C15" t="s">
        <v>64</v>
      </c>
      <c r="D15" t="s">
        <v>65</v>
      </c>
      <c r="E15" t="s">
        <v>66</v>
      </c>
      <c r="F15" s="3" t="str">
        <f t="shared" si="6"/>
        <v>KO</v>
      </c>
      <c r="G15" s="4">
        <v>0.8</v>
      </c>
      <c r="H15" s="3"/>
      <c r="I15" s="3"/>
      <c r="J15" s="3" t="str">
        <f t="shared" si="4"/>
        <v>KO</v>
      </c>
      <c r="K15" s="4">
        <v>0.8</v>
      </c>
      <c r="L15" s="3"/>
      <c r="M15" s="3"/>
      <c r="N15" s="3" t="str">
        <f t="shared" si="2"/>
        <v>KO</v>
      </c>
      <c r="O15" s="4">
        <v>0.8</v>
      </c>
      <c r="P15" s="3">
        <f>Tableau1[[#This Row],[Voltage (V)]]*Tableau1[[#This Row],[Current (A)]]</f>
        <v>0</v>
      </c>
      <c r="Q15" s="3"/>
      <c r="R15" s="3" t="str">
        <f t="shared" si="5"/>
        <v>KO</v>
      </c>
      <c r="S15" s="4">
        <v>0.9</v>
      </c>
      <c r="T15" s="3"/>
      <c r="U15" s="3"/>
      <c r="V15" s="3" t="str">
        <f t="shared" si="3"/>
        <v>KO</v>
      </c>
    </row>
    <row r="16" spans="1:22">
      <c r="A16" t="s">
        <v>67</v>
      </c>
      <c r="B16" t="s">
        <v>68</v>
      </c>
      <c r="C16" t="s">
        <v>69</v>
      </c>
      <c r="D16" t="s">
        <v>70</v>
      </c>
      <c r="E16" t="s">
        <v>71</v>
      </c>
      <c r="F16" s="3" t="str">
        <f t="shared" si="6"/>
        <v>KO</v>
      </c>
      <c r="G16" s="4">
        <v>0.8</v>
      </c>
      <c r="H16" s="3"/>
      <c r="I16" s="3"/>
      <c r="J16" s="3" t="str">
        <f t="shared" si="4"/>
        <v>KO</v>
      </c>
      <c r="K16" s="4">
        <v>0.8</v>
      </c>
      <c r="L16" s="3"/>
      <c r="M16" s="3"/>
      <c r="N16" s="3" t="str">
        <f t="shared" si="2"/>
        <v>KO</v>
      </c>
      <c r="O16" s="4">
        <v>0.8</v>
      </c>
      <c r="P16" s="3">
        <f>Tableau1[[#This Row],[Voltage (V)]]*Tableau1[[#This Row],[Current (A)]]</f>
        <v>0</v>
      </c>
      <c r="Q16" s="3"/>
      <c r="R16" s="3" t="str">
        <f t="shared" si="5"/>
        <v>KO</v>
      </c>
      <c r="S16" s="4">
        <v>0.9</v>
      </c>
      <c r="T16" s="3"/>
      <c r="U16" s="3"/>
      <c r="V16" s="3" t="str">
        <f t="shared" si="3"/>
        <v>KO</v>
      </c>
    </row>
    <row r="17" spans="1:22">
      <c r="A17" t="s">
        <v>72</v>
      </c>
      <c r="B17" t="s">
        <v>68</v>
      </c>
      <c r="C17" t="s">
        <v>69</v>
      </c>
      <c r="D17" t="s">
        <v>70</v>
      </c>
      <c r="E17" t="s">
        <v>71</v>
      </c>
      <c r="F17" s="3" t="str">
        <f t="shared" si="6"/>
        <v>KO</v>
      </c>
      <c r="G17" s="4">
        <v>0.8</v>
      </c>
      <c r="H17" s="3"/>
      <c r="I17" s="3"/>
      <c r="J17" s="3" t="str">
        <f t="shared" si="4"/>
        <v>KO</v>
      </c>
      <c r="K17" s="4">
        <v>0.8</v>
      </c>
      <c r="L17" s="3"/>
      <c r="M17" s="3"/>
      <c r="N17" s="3" t="str">
        <f t="shared" si="2"/>
        <v>KO</v>
      </c>
      <c r="O17" s="4">
        <v>0.8</v>
      </c>
      <c r="P17" s="3">
        <f>Tableau1[[#This Row],[Voltage (V)]]*Tableau1[[#This Row],[Current (A)]]</f>
        <v>0</v>
      </c>
      <c r="Q17" s="3"/>
      <c r="R17" s="3" t="str">
        <f t="shared" si="5"/>
        <v>KO</v>
      </c>
      <c r="S17" s="4">
        <v>0.9</v>
      </c>
      <c r="T17" s="3"/>
      <c r="U17" s="3"/>
      <c r="V17" s="3" t="str">
        <f t="shared" si="3"/>
        <v>KO</v>
      </c>
    </row>
    <row r="18" spans="1:22">
      <c r="A18" t="s">
        <v>73</v>
      </c>
      <c r="B18" t="s">
        <v>68</v>
      </c>
      <c r="C18" t="s">
        <v>69</v>
      </c>
      <c r="D18" t="s">
        <v>70</v>
      </c>
      <c r="E18" t="s">
        <v>71</v>
      </c>
      <c r="F18" s="3" t="str">
        <f t="shared" si="6"/>
        <v>KO</v>
      </c>
      <c r="G18" s="4">
        <v>0.8</v>
      </c>
      <c r="H18" s="3"/>
      <c r="I18" s="3"/>
      <c r="J18" s="3" t="str">
        <f t="shared" si="4"/>
        <v>KO</v>
      </c>
      <c r="K18" s="4">
        <v>0.8</v>
      </c>
      <c r="L18" s="3"/>
      <c r="M18" s="3"/>
      <c r="N18" s="3" t="str">
        <f t="shared" si="2"/>
        <v>KO</v>
      </c>
      <c r="O18" s="4">
        <v>0.8</v>
      </c>
      <c r="P18" s="3">
        <f>Tableau1[[#This Row],[Voltage (V)]]*Tableau1[[#This Row],[Current (A)]]</f>
        <v>0</v>
      </c>
      <c r="Q18" s="3"/>
      <c r="R18" s="3" t="str">
        <f t="shared" si="5"/>
        <v>KO</v>
      </c>
      <c r="S18" s="4">
        <v>0.9</v>
      </c>
      <c r="T18" s="3"/>
      <c r="U18" s="3"/>
      <c r="V18" s="3" t="str">
        <f t="shared" si="3"/>
        <v>KO</v>
      </c>
    </row>
    <row r="19" spans="1:22">
      <c r="A19" t="s">
        <v>74</v>
      </c>
      <c r="B19" t="s">
        <v>75</v>
      </c>
      <c r="C19" t="s">
        <v>76</v>
      </c>
      <c r="D19" t="s">
        <v>77</v>
      </c>
      <c r="E19" t="s">
        <v>78</v>
      </c>
      <c r="F19" s="3" t="str">
        <f t="shared" si="6"/>
        <v>KO</v>
      </c>
      <c r="G19" s="4">
        <v>0.8</v>
      </c>
      <c r="H19" s="3"/>
      <c r="I19" s="3"/>
      <c r="J19" s="3" t="str">
        <f t="shared" si="4"/>
        <v>KO</v>
      </c>
      <c r="K19" s="4">
        <v>0.8</v>
      </c>
      <c r="L19" s="3"/>
      <c r="M19" s="3"/>
      <c r="N19" s="3" t="str">
        <f t="shared" si="2"/>
        <v>KO</v>
      </c>
      <c r="O19" s="4">
        <v>0.8</v>
      </c>
      <c r="P19" s="3">
        <f>Tableau1[[#This Row],[Voltage (V)]]*Tableau1[[#This Row],[Current (A)]]</f>
        <v>0</v>
      </c>
      <c r="Q19" s="3"/>
      <c r="R19" s="3" t="str">
        <f t="shared" si="5"/>
        <v>KO</v>
      </c>
      <c r="S19" s="4">
        <v>0.9</v>
      </c>
      <c r="T19" s="3"/>
      <c r="U19" s="3"/>
      <c r="V19" s="3" t="str">
        <f t="shared" si="3"/>
        <v>KO</v>
      </c>
    </row>
    <row r="20" spans="1:22">
      <c r="A20" t="s">
        <v>79</v>
      </c>
      <c r="B20" t="s">
        <v>80</v>
      </c>
      <c r="C20" t="s">
        <v>76</v>
      </c>
      <c r="D20" t="s">
        <v>81</v>
      </c>
      <c r="E20" t="s">
        <v>82</v>
      </c>
      <c r="F20" s="3" t="str">
        <f t="shared" si="6"/>
        <v>KO</v>
      </c>
      <c r="G20" s="4">
        <v>0.8</v>
      </c>
      <c r="H20" s="3"/>
      <c r="I20" s="3"/>
      <c r="J20" s="3" t="str">
        <f t="shared" si="4"/>
        <v>KO</v>
      </c>
      <c r="K20" s="4">
        <v>0.8</v>
      </c>
      <c r="L20" s="3"/>
      <c r="M20" s="3"/>
      <c r="N20" s="3" t="str">
        <f t="shared" si="2"/>
        <v>KO</v>
      </c>
      <c r="O20" s="4">
        <v>0.8</v>
      </c>
      <c r="P20" s="3">
        <f>Tableau1[[#This Row],[Voltage (V)]]*Tableau1[[#This Row],[Current (A)]]</f>
        <v>0</v>
      </c>
      <c r="Q20" s="3"/>
      <c r="R20" s="3" t="str">
        <f t="shared" si="5"/>
        <v>KO</v>
      </c>
      <c r="S20" s="4">
        <v>0.9</v>
      </c>
      <c r="T20" s="3"/>
      <c r="U20" s="3"/>
      <c r="V20" s="3" t="str">
        <f t="shared" si="3"/>
        <v>KO</v>
      </c>
    </row>
    <row r="21" spans="1:22">
      <c r="A21" t="s">
        <v>83</v>
      </c>
      <c r="B21" t="s">
        <v>80</v>
      </c>
      <c r="C21" t="s">
        <v>76</v>
      </c>
      <c r="D21" t="s">
        <v>81</v>
      </c>
      <c r="E21" t="s">
        <v>82</v>
      </c>
      <c r="F21" s="3" t="str">
        <f t="shared" si="6"/>
        <v>KO</v>
      </c>
      <c r="G21" s="4">
        <v>0.8</v>
      </c>
      <c r="H21" s="3"/>
      <c r="I21" s="3"/>
      <c r="J21" s="3" t="str">
        <f t="shared" si="4"/>
        <v>KO</v>
      </c>
      <c r="K21" s="4">
        <v>0.8</v>
      </c>
      <c r="L21" s="3"/>
      <c r="M21" s="3"/>
      <c r="N21" s="3" t="str">
        <f t="shared" si="2"/>
        <v>KO</v>
      </c>
      <c r="O21" s="4">
        <v>0.8</v>
      </c>
      <c r="P21" s="3">
        <f>Tableau1[[#This Row],[Voltage (V)]]*Tableau1[[#This Row],[Current (A)]]</f>
        <v>0</v>
      </c>
      <c r="Q21" s="3"/>
      <c r="R21" s="3" t="str">
        <f t="shared" si="5"/>
        <v>KO</v>
      </c>
      <c r="S21" s="4">
        <v>0.9</v>
      </c>
      <c r="T21" s="3"/>
      <c r="U21" s="3"/>
      <c r="V21" s="3" t="str">
        <f t="shared" si="3"/>
        <v>KO</v>
      </c>
    </row>
    <row r="22" spans="1:22">
      <c r="A22" t="s">
        <v>84</v>
      </c>
      <c r="B22" t="s">
        <v>80</v>
      </c>
      <c r="C22" t="s">
        <v>76</v>
      </c>
      <c r="D22" t="s">
        <v>81</v>
      </c>
      <c r="E22" t="s">
        <v>82</v>
      </c>
      <c r="F22" s="3" t="str">
        <f t="shared" si="6"/>
        <v>KO</v>
      </c>
      <c r="G22" s="4">
        <v>0.8</v>
      </c>
      <c r="H22" s="3"/>
      <c r="I22" s="3"/>
      <c r="J22" s="3" t="str">
        <f t="shared" si="4"/>
        <v>KO</v>
      </c>
      <c r="K22" s="4">
        <v>0.8</v>
      </c>
      <c r="L22" s="3"/>
      <c r="M22" s="3"/>
      <c r="N22" s="3" t="str">
        <f t="shared" si="2"/>
        <v>KO</v>
      </c>
      <c r="O22" s="4">
        <v>0.8</v>
      </c>
      <c r="P22" s="3">
        <f>Tableau1[[#This Row],[Voltage (V)]]*Tableau1[[#This Row],[Current (A)]]</f>
        <v>0</v>
      </c>
      <c r="Q22" s="3"/>
      <c r="R22" s="3" t="str">
        <f t="shared" si="5"/>
        <v>KO</v>
      </c>
      <c r="S22" s="4">
        <v>0.9</v>
      </c>
      <c r="T22" s="3"/>
      <c r="U22" s="3"/>
      <c r="V22" s="3" t="str">
        <f t="shared" si="3"/>
        <v>KO</v>
      </c>
    </row>
    <row r="23" spans="1:22">
      <c r="A23" t="s">
        <v>85</v>
      </c>
      <c r="B23" t="s">
        <v>80</v>
      </c>
      <c r="C23" t="s">
        <v>76</v>
      </c>
      <c r="D23" t="s">
        <v>81</v>
      </c>
      <c r="E23" t="s">
        <v>82</v>
      </c>
      <c r="F23" s="3" t="str">
        <f t="shared" si="6"/>
        <v>KO</v>
      </c>
      <c r="G23" s="4">
        <v>0.8</v>
      </c>
      <c r="H23" s="3"/>
      <c r="I23" s="3"/>
      <c r="J23" s="3" t="str">
        <f t="shared" si="4"/>
        <v>KO</v>
      </c>
      <c r="K23" s="4">
        <v>0.8</v>
      </c>
      <c r="L23" s="3"/>
      <c r="M23" s="3"/>
      <c r="N23" s="3" t="str">
        <f t="shared" si="2"/>
        <v>KO</v>
      </c>
      <c r="O23" s="4">
        <v>0.8</v>
      </c>
      <c r="P23" s="3">
        <f>Tableau1[[#This Row],[Voltage (V)]]*Tableau1[[#This Row],[Current (A)]]</f>
        <v>0</v>
      </c>
      <c r="Q23" s="3"/>
      <c r="R23" s="3" t="str">
        <f t="shared" si="5"/>
        <v>KO</v>
      </c>
      <c r="S23" s="4">
        <v>0.9</v>
      </c>
      <c r="T23" s="3"/>
      <c r="U23" s="3"/>
      <c r="V23" s="3" t="str">
        <f t="shared" si="3"/>
        <v>KO</v>
      </c>
    </row>
    <row r="24" spans="1:22">
      <c r="A24" t="s">
        <v>86</v>
      </c>
      <c r="B24" t="s">
        <v>87</v>
      </c>
      <c r="C24" t="s">
        <v>76</v>
      </c>
      <c r="D24" t="s">
        <v>88</v>
      </c>
      <c r="E24" t="s">
        <v>82</v>
      </c>
      <c r="F24" s="3" t="str">
        <f t="shared" si="6"/>
        <v>KO</v>
      </c>
      <c r="G24" s="4">
        <v>0.8</v>
      </c>
      <c r="H24" s="3"/>
      <c r="I24" s="3"/>
      <c r="J24" s="3" t="str">
        <f t="shared" si="4"/>
        <v>KO</v>
      </c>
      <c r="K24" s="4">
        <v>0.8</v>
      </c>
      <c r="L24" s="3"/>
      <c r="M24" s="3"/>
      <c r="N24" s="3" t="str">
        <f t="shared" si="2"/>
        <v>KO</v>
      </c>
      <c r="O24" s="4">
        <v>0.8</v>
      </c>
      <c r="P24" s="3">
        <f>Tableau1[[#This Row],[Voltage (V)]]*Tableau1[[#This Row],[Current (A)]]</f>
        <v>0</v>
      </c>
      <c r="Q24" s="3"/>
      <c r="R24" s="3" t="str">
        <f t="shared" si="5"/>
        <v>KO</v>
      </c>
      <c r="S24" s="4">
        <v>0.9</v>
      </c>
      <c r="T24" s="3"/>
      <c r="U24" s="3"/>
      <c r="V24" s="3" t="str">
        <f t="shared" si="3"/>
        <v>KO</v>
      </c>
    </row>
    <row r="25" spans="1:22">
      <c r="A25" t="s">
        <v>89</v>
      </c>
      <c r="B25" t="s">
        <v>87</v>
      </c>
      <c r="C25" t="s">
        <v>76</v>
      </c>
      <c r="D25" t="s">
        <v>88</v>
      </c>
      <c r="E25" t="s">
        <v>82</v>
      </c>
      <c r="F25" s="3" t="str">
        <f t="shared" si="6"/>
        <v>KO</v>
      </c>
      <c r="G25" s="4">
        <v>0.8</v>
      </c>
      <c r="H25" s="3"/>
      <c r="I25" s="3"/>
      <c r="J25" s="3" t="str">
        <f t="shared" si="4"/>
        <v>KO</v>
      </c>
      <c r="K25" s="4">
        <v>0.8</v>
      </c>
      <c r="L25" s="3"/>
      <c r="M25" s="3"/>
      <c r="N25" s="3" t="str">
        <f t="shared" si="2"/>
        <v>KO</v>
      </c>
      <c r="O25" s="4">
        <v>0.8</v>
      </c>
      <c r="P25" s="3">
        <f>Tableau1[[#This Row],[Voltage (V)]]*Tableau1[[#This Row],[Current (A)]]</f>
        <v>0</v>
      </c>
      <c r="Q25" s="3"/>
      <c r="R25" s="3" t="str">
        <f t="shared" si="5"/>
        <v>KO</v>
      </c>
      <c r="S25" s="4">
        <v>0.9</v>
      </c>
      <c r="T25" s="3"/>
      <c r="U25" s="3"/>
      <c r="V25" s="3" t="str">
        <f t="shared" si="3"/>
        <v>KO</v>
      </c>
    </row>
    <row r="26" spans="1:22">
      <c r="A26" t="s">
        <v>90</v>
      </c>
      <c r="B26" t="s">
        <v>91</v>
      </c>
      <c r="C26" t="s">
        <v>76</v>
      </c>
      <c r="D26" t="s">
        <v>92</v>
      </c>
      <c r="E26" t="s">
        <v>82</v>
      </c>
      <c r="F26" s="3" t="str">
        <f t="shared" si="6"/>
        <v>KO</v>
      </c>
      <c r="G26" s="4">
        <v>0.8</v>
      </c>
      <c r="H26" s="3"/>
      <c r="I26" s="3"/>
      <c r="J26" s="3" t="str">
        <f t="shared" si="4"/>
        <v>KO</v>
      </c>
      <c r="K26" s="4">
        <v>0.8</v>
      </c>
      <c r="L26" s="3"/>
      <c r="M26" s="3"/>
      <c r="N26" s="3" t="str">
        <f t="shared" si="2"/>
        <v>KO</v>
      </c>
      <c r="O26" s="4">
        <v>0.8</v>
      </c>
      <c r="P26" s="3">
        <f>Tableau1[[#This Row],[Voltage (V)]]*Tableau1[[#This Row],[Current (A)]]</f>
        <v>0</v>
      </c>
      <c r="Q26" s="3"/>
      <c r="R26" s="3" t="str">
        <f t="shared" si="5"/>
        <v>KO</v>
      </c>
      <c r="S26" s="4">
        <v>0.9</v>
      </c>
      <c r="T26" s="3"/>
      <c r="U26" s="3"/>
      <c r="V26" s="3" t="str">
        <f t="shared" si="3"/>
        <v>KO</v>
      </c>
    </row>
    <row r="27" spans="1:22">
      <c r="A27" t="s">
        <v>93</v>
      </c>
      <c r="B27" t="s">
        <v>91</v>
      </c>
      <c r="C27" t="s">
        <v>76</v>
      </c>
      <c r="D27" t="s">
        <v>92</v>
      </c>
      <c r="E27" t="s">
        <v>82</v>
      </c>
      <c r="F27" s="3" t="str">
        <f t="shared" si="6"/>
        <v>KO</v>
      </c>
      <c r="G27" s="4">
        <v>0.8</v>
      </c>
      <c r="H27" s="3"/>
      <c r="I27" s="3"/>
      <c r="J27" s="3" t="str">
        <f t="shared" si="4"/>
        <v>KO</v>
      </c>
      <c r="K27" s="4">
        <v>0.8</v>
      </c>
      <c r="L27" s="3"/>
      <c r="M27" s="3"/>
      <c r="N27" s="3" t="str">
        <f t="shared" si="2"/>
        <v>KO</v>
      </c>
      <c r="O27" s="4">
        <v>0.8</v>
      </c>
      <c r="P27" s="3">
        <f>Tableau1[[#This Row],[Voltage (V)]]*Tableau1[[#This Row],[Current (A)]]</f>
        <v>0</v>
      </c>
      <c r="Q27" s="3"/>
      <c r="R27" s="3" t="str">
        <f t="shared" si="5"/>
        <v>KO</v>
      </c>
      <c r="S27" s="4">
        <v>0.9</v>
      </c>
      <c r="T27" s="3"/>
      <c r="U27" s="3"/>
      <c r="V27" s="3" t="str">
        <f t="shared" si="3"/>
        <v>KO</v>
      </c>
    </row>
    <row r="28" spans="1:22">
      <c r="A28" t="s">
        <v>94</v>
      </c>
      <c r="B28" t="s">
        <v>5</v>
      </c>
      <c r="C28" t="s">
        <v>95</v>
      </c>
      <c r="F28" s="3" t="str">
        <f t="shared" si="6"/>
        <v>OK</v>
      </c>
      <c r="G28" s="6"/>
      <c r="H28" s="5"/>
      <c r="I28" s="5"/>
      <c r="J28" s="5"/>
      <c r="K28" s="6"/>
      <c r="L28" s="5"/>
      <c r="M28" s="5"/>
      <c r="N28" s="5"/>
      <c r="O28" s="6"/>
      <c r="P28" s="5">
        <f>Tableau1[[#This Row],[Voltage (V)]]*Tableau1[[#This Row],[Current (A)]]</f>
        <v>0</v>
      </c>
      <c r="Q28" s="5"/>
      <c r="R28" s="5"/>
      <c r="S28" s="6"/>
      <c r="T28" s="5"/>
      <c r="U28" s="5"/>
      <c r="V28" s="5"/>
    </row>
    <row r="29" spans="1:22">
      <c r="A29" t="s">
        <v>96</v>
      </c>
      <c r="B29" t="s">
        <v>97</v>
      </c>
      <c r="C29" t="s">
        <v>95</v>
      </c>
      <c r="F29" s="3" t="str">
        <f t="shared" si="6"/>
        <v>OK</v>
      </c>
      <c r="G29" s="6"/>
      <c r="H29" s="5"/>
      <c r="I29" s="5"/>
      <c r="J29" s="5"/>
      <c r="K29" s="6"/>
      <c r="L29" s="5"/>
      <c r="M29" s="5"/>
      <c r="N29" s="5"/>
      <c r="O29" s="6"/>
      <c r="P29" s="5">
        <f>Tableau1[[#This Row],[Voltage (V)]]*Tableau1[[#This Row],[Current (A)]]</f>
        <v>0</v>
      </c>
      <c r="Q29" s="5"/>
      <c r="R29" s="5"/>
      <c r="S29" s="6"/>
      <c r="T29" s="5"/>
      <c r="U29" s="5"/>
      <c r="V29" s="5"/>
    </row>
    <row r="30" spans="1:22">
      <c r="A30" t="s">
        <v>98</v>
      </c>
      <c r="B30" t="s">
        <v>99</v>
      </c>
      <c r="C30" t="s">
        <v>95</v>
      </c>
      <c r="F30" s="3" t="str">
        <f t="shared" si="6"/>
        <v>OK</v>
      </c>
      <c r="G30" s="6"/>
      <c r="H30" s="5"/>
      <c r="I30" s="5"/>
      <c r="J30" s="5"/>
      <c r="K30" s="6"/>
      <c r="L30" s="5"/>
      <c r="M30" s="5"/>
      <c r="N30" s="5"/>
      <c r="O30" s="6"/>
      <c r="P30" s="5">
        <f>Tableau1[[#This Row],[Voltage (V)]]*Tableau1[[#This Row],[Current (A)]]</f>
        <v>0</v>
      </c>
      <c r="Q30" s="5"/>
      <c r="R30" s="5"/>
      <c r="S30" s="6"/>
      <c r="T30" s="5"/>
      <c r="U30" s="5"/>
      <c r="V30" s="5"/>
    </row>
    <row r="31" spans="1:22">
      <c r="A31" t="s">
        <v>100</v>
      </c>
      <c r="B31" t="s">
        <v>101</v>
      </c>
      <c r="C31" t="s">
        <v>95</v>
      </c>
      <c r="F31" s="3" t="str">
        <f t="shared" si="6"/>
        <v>OK</v>
      </c>
      <c r="G31" s="6"/>
      <c r="H31" s="5"/>
      <c r="I31" s="5"/>
      <c r="J31" s="5"/>
      <c r="K31" s="6"/>
      <c r="L31" s="5"/>
      <c r="M31" s="5"/>
      <c r="N31" s="5"/>
      <c r="O31" s="6"/>
      <c r="P31" s="5">
        <f>Tableau1[[#This Row],[Voltage (V)]]*Tableau1[[#This Row],[Current (A)]]</f>
        <v>0</v>
      </c>
      <c r="Q31" s="5"/>
      <c r="R31" s="5"/>
      <c r="S31" s="6"/>
      <c r="T31" s="5"/>
      <c r="U31" s="5"/>
      <c r="V31" s="5"/>
    </row>
    <row r="32" spans="1:22">
      <c r="A32" t="s">
        <v>102</v>
      </c>
      <c r="B32" t="s">
        <v>103</v>
      </c>
      <c r="C32" t="s">
        <v>95</v>
      </c>
      <c r="F32" s="3" t="str">
        <f t="shared" si="6"/>
        <v>OK</v>
      </c>
      <c r="G32" s="6"/>
      <c r="H32" s="5"/>
      <c r="I32" s="5"/>
      <c r="J32" s="5"/>
      <c r="K32" s="6"/>
      <c r="L32" s="5"/>
      <c r="M32" s="5"/>
      <c r="N32" s="5"/>
      <c r="O32" s="6"/>
      <c r="P32" s="5">
        <f>Tableau1[[#This Row],[Voltage (V)]]*Tableau1[[#This Row],[Current (A)]]</f>
        <v>0</v>
      </c>
      <c r="Q32" s="5"/>
      <c r="R32" s="5"/>
      <c r="S32" s="6"/>
      <c r="T32" s="5"/>
      <c r="U32" s="5"/>
      <c r="V32" s="5"/>
    </row>
    <row r="33" spans="1:22">
      <c r="A33" t="s">
        <v>104</v>
      </c>
      <c r="B33" t="s">
        <v>105</v>
      </c>
      <c r="C33" t="s">
        <v>95</v>
      </c>
      <c r="F33" s="3" t="str">
        <f t="shared" si="6"/>
        <v>OK</v>
      </c>
      <c r="G33" s="6"/>
      <c r="H33" s="5"/>
      <c r="I33" s="5"/>
      <c r="J33" s="5"/>
      <c r="K33" s="6"/>
      <c r="L33" s="5"/>
      <c r="M33" s="5"/>
      <c r="N33" s="5"/>
      <c r="O33" s="6"/>
      <c r="P33" s="5">
        <f>Tableau1[[#This Row],[Voltage (V)]]*Tableau1[[#This Row],[Current (A)]]</f>
        <v>0</v>
      </c>
      <c r="Q33" s="5"/>
      <c r="R33" s="5"/>
      <c r="S33" s="6"/>
      <c r="T33" s="5"/>
      <c r="U33" s="5"/>
      <c r="V33" s="5"/>
    </row>
    <row r="34" spans="1:22">
      <c r="A34" t="s">
        <v>106</v>
      </c>
      <c r="B34" t="s">
        <v>107</v>
      </c>
      <c r="C34" t="s">
        <v>95</v>
      </c>
      <c r="F34" s="3" t="str">
        <f t="shared" si="6"/>
        <v>OK</v>
      </c>
      <c r="G34" s="6"/>
      <c r="H34" s="5"/>
      <c r="I34" s="5"/>
      <c r="J34" s="5"/>
      <c r="K34" s="6"/>
      <c r="L34" s="5"/>
      <c r="M34" s="5"/>
      <c r="N34" s="5"/>
      <c r="O34" s="6"/>
      <c r="P34" s="5">
        <f>Tableau1[[#This Row],[Voltage (V)]]*Tableau1[[#This Row],[Current (A)]]</f>
        <v>0</v>
      </c>
      <c r="Q34" s="5"/>
      <c r="R34" s="5"/>
      <c r="S34" s="6"/>
      <c r="T34" s="5"/>
      <c r="U34" s="5"/>
      <c r="V34" s="5"/>
    </row>
    <row r="35" spans="1:22">
      <c r="A35" t="s">
        <v>108</v>
      </c>
      <c r="B35" t="s">
        <v>109</v>
      </c>
      <c r="C35" t="s">
        <v>95</v>
      </c>
      <c r="F35" s="3" t="str">
        <f t="shared" si="6"/>
        <v>OK</v>
      </c>
      <c r="G35" s="6"/>
      <c r="H35" s="5"/>
      <c r="I35" s="5"/>
      <c r="J35" s="5"/>
      <c r="K35" s="6"/>
      <c r="L35" s="5"/>
      <c r="M35" s="5"/>
      <c r="N35" s="5"/>
      <c r="O35" s="6"/>
      <c r="P35" s="5">
        <f>Tableau1[[#This Row],[Voltage (V)]]*Tableau1[[#This Row],[Current (A)]]</f>
        <v>0</v>
      </c>
      <c r="Q35" s="5"/>
      <c r="R35" s="5"/>
      <c r="S35" s="6"/>
      <c r="T35" s="5"/>
      <c r="U35" s="5"/>
      <c r="V35" s="5"/>
    </row>
    <row r="36" spans="1:22" ht="28.5" customHeight="1">
      <c r="A36" t="s">
        <v>110</v>
      </c>
      <c r="B36" t="s">
        <v>111</v>
      </c>
      <c r="C36" t="s">
        <v>112</v>
      </c>
      <c r="D36" t="s">
        <v>113</v>
      </c>
      <c r="E36" s="1" t="s">
        <v>114</v>
      </c>
      <c r="F36" s="3" t="str">
        <f t="shared" si="6"/>
        <v>KO</v>
      </c>
      <c r="G36" s="4">
        <v>0.8</v>
      </c>
      <c r="H36" s="3"/>
      <c r="I36" s="3"/>
      <c r="J36" s="3" t="str">
        <f t="shared" si="4"/>
        <v>KO</v>
      </c>
      <c r="K36" s="4">
        <v>0.8</v>
      </c>
      <c r="L36" s="3"/>
      <c r="M36" s="3"/>
      <c r="N36" s="3" t="str">
        <f t="shared" si="2"/>
        <v>KO</v>
      </c>
      <c r="O36" s="4">
        <v>0.8</v>
      </c>
      <c r="P36" s="3">
        <f>Tableau1[[#This Row],[Voltage (V)]]*Tableau1[[#This Row],[Current (A)]]</f>
        <v>0</v>
      </c>
      <c r="Q36" s="3"/>
      <c r="R36" s="3" t="str">
        <f t="shared" si="5"/>
        <v>KO</v>
      </c>
      <c r="S36" s="4">
        <v>0.9</v>
      </c>
      <c r="T36" s="3"/>
      <c r="U36" s="3"/>
      <c r="V36" s="3" t="str">
        <f t="shared" si="3"/>
        <v>KO</v>
      </c>
    </row>
    <row r="37" spans="1:22">
      <c r="A37" t="s">
        <v>115</v>
      </c>
      <c r="B37" t="s">
        <v>116</v>
      </c>
      <c r="C37" t="s">
        <v>117</v>
      </c>
      <c r="D37" t="s">
        <v>116</v>
      </c>
      <c r="E37" t="s">
        <v>118</v>
      </c>
      <c r="F37" s="3" t="str">
        <f t="shared" si="6"/>
        <v>KO</v>
      </c>
      <c r="G37" s="4">
        <v>0.8</v>
      </c>
      <c r="H37" s="3"/>
      <c r="I37" s="3"/>
      <c r="J37" s="3" t="str">
        <f t="shared" si="4"/>
        <v>KO</v>
      </c>
      <c r="K37" s="4">
        <v>0.8</v>
      </c>
      <c r="L37" s="3"/>
      <c r="M37" s="3"/>
      <c r="N37" s="3" t="str">
        <f t="shared" si="2"/>
        <v>KO</v>
      </c>
      <c r="O37" s="4">
        <v>0.8</v>
      </c>
      <c r="P37" s="3">
        <f>Tableau1[[#This Row],[Voltage (V)]]*Tableau1[[#This Row],[Current (A)]]</f>
        <v>0</v>
      </c>
      <c r="Q37" s="3"/>
      <c r="R37" s="3" t="str">
        <f t="shared" si="5"/>
        <v>KO</v>
      </c>
      <c r="S37" s="4">
        <v>0.9</v>
      </c>
      <c r="T37" s="3"/>
      <c r="U37" s="3"/>
      <c r="V37" s="3" t="str">
        <f t="shared" si="3"/>
        <v>KO</v>
      </c>
    </row>
    <row r="38" spans="1:22">
      <c r="A38" t="s">
        <v>119</v>
      </c>
      <c r="B38" t="s">
        <v>120</v>
      </c>
      <c r="C38" t="s">
        <v>121</v>
      </c>
      <c r="D38" t="s">
        <v>122</v>
      </c>
      <c r="E38" t="s">
        <v>123</v>
      </c>
      <c r="F38" s="3" t="str">
        <f t="shared" si="6"/>
        <v>KO</v>
      </c>
      <c r="G38" s="4">
        <v>0.8</v>
      </c>
      <c r="H38" s="3"/>
      <c r="I38" s="3"/>
      <c r="J38" s="3" t="str">
        <f t="shared" si="4"/>
        <v>KO</v>
      </c>
      <c r="K38" s="4">
        <v>0.8</v>
      </c>
      <c r="L38" s="3"/>
      <c r="M38" s="3"/>
      <c r="N38" s="3" t="str">
        <f t="shared" si="2"/>
        <v>KO</v>
      </c>
      <c r="O38" s="4">
        <v>0.8</v>
      </c>
      <c r="P38" s="3">
        <f>Tableau1[[#This Row],[Voltage (V)]]*Tableau1[[#This Row],[Current (A)]]</f>
        <v>0</v>
      </c>
      <c r="Q38" s="3"/>
      <c r="R38" s="3" t="str">
        <f t="shared" si="5"/>
        <v>KO</v>
      </c>
      <c r="S38" s="4">
        <v>0.9</v>
      </c>
      <c r="T38" s="3"/>
      <c r="U38" s="3"/>
      <c r="V38" s="3" t="str">
        <f t="shared" si="3"/>
        <v>KO</v>
      </c>
    </row>
    <row r="39" spans="1:22">
      <c r="B39" t="s">
        <v>124</v>
      </c>
      <c r="C39" t="s">
        <v>121</v>
      </c>
      <c r="D39" t="s">
        <v>125</v>
      </c>
      <c r="F39" s="3" t="str">
        <f t="shared" si="6"/>
        <v>KO</v>
      </c>
      <c r="G39" s="4">
        <v>0.8</v>
      </c>
      <c r="H39" s="3"/>
      <c r="I39" s="3"/>
      <c r="J39" s="3" t="str">
        <f t="shared" si="4"/>
        <v>KO</v>
      </c>
      <c r="K39" s="4">
        <v>0.8</v>
      </c>
      <c r="L39" s="3"/>
      <c r="M39" s="3"/>
      <c r="N39" s="3" t="str">
        <f t="shared" si="2"/>
        <v>KO</v>
      </c>
      <c r="O39" s="4">
        <v>0.8</v>
      </c>
      <c r="P39" s="3">
        <f>Tableau1[[#This Row],[Voltage (V)]]*Tableau1[[#This Row],[Current (A)]]</f>
        <v>0</v>
      </c>
      <c r="Q39" s="3"/>
      <c r="R39" s="3" t="str">
        <f t="shared" si="5"/>
        <v>KO</v>
      </c>
      <c r="S39" s="4">
        <v>0.9</v>
      </c>
      <c r="T39" s="3"/>
      <c r="U39" s="3"/>
      <c r="V39" s="3" t="str">
        <f t="shared" si="3"/>
        <v>KO</v>
      </c>
    </row>
    <row r="40" spans="1:22">
      <c r="A40" t="s">
        <v>126</v>
      </c>
      <c r="B40" t="s">
        <v>127</v>
      </c>
      <c r="C40" t="s">
        <v>128</v>
      </c>
      <c r="D40" t="s">
        <v>129</v>
      </c>
      <c r="E40" t="s">
        <v>130</v>
      </c>
      <c r="F40" s="3" t="str">
        <f t="shared" si="6"/>
        <v>KO</v>
      </c>
      <c r="G40" s="4">
        <v>0.8</v>
      </c>
      <c r="H40" s="3"/>
      <c r="I40" s="3"/>
      <c r="J40" s="3" t="str">
        <f t="shared" si="4"/>
        <v>KO</v>
      </c>
      <c r="K40" s="4">
        <v>0.8</v>
      </c>
      <c r="L40" s="3"/>
      <c r="M40" s="3"/>
      <c r="N40" s="3" t="str">
        <f t="shared" si="2"/>
        <v>KO</v>
      </c>
      <c r="O40" s="4">
        <v>0.8</v>
      </c>
      <c r="P40" s="3">
        <f>Tableau1[[#This Row],[Voltage (V)]]*Tableau1[[#This Row],[Current (A)]]</f>
        <v>0</v>
      </c>
      <c r="Q40" s="3"/>
      <c r="R40" s="3" t="str">
        <f t="shared" si="5"/>
        <v>KO</v>
      </c>
      <c r="S40" s="4">
        <v>0.9</v>
      </c>
      <c r="T40" s="3"/>
      <c r="U40" s="3"/>
      <c r="V40" s="3" t="str">
        <f t="shared" si="3"/>
        <v>KO</v>
      </c>
    </row>
    <row r="41" spans="1:22">
      <c r="A41" t="s">
        <v>131</v>
      </c>
      <c r="B41" t="s">
        <v>132</v>
      </c>
      <c r="C41" t="s">
        <v>133</v>
      </c>
      <c r="D41" t="s">
        <v>134</v>
      </c>
      <c r="E41" t="s">
        <v>135</v>
      </c>
      <c r="F41" s="3" t="str">
        <f t="shared" si="6"/>
        <v>KO</v>
      </c>
      <c r="G41" s="4">
        <v>0.8</v>
      </c>
      <c r="H41" s="3"/>
      <c r="I41" s="3"/>
      <c r="J41" s="3" t="str">
        <f t="shared" si="4"/>
        <v>KO</v>
      </c>
      <c r="K41" s="4">
        <v>0.8</v>
      </c>
      <c r="L41" s="3"/>
      <c r="M41" s="3"/>
      <c r="N41" s="3" t="str">
        <f t="shared" si="2"/>
        <v>KO</v>
      </c>
      <c r="O41" s="4">
        <v>0.8</v>
      </c>
      <c r="P41" s="3">
        <f>Tableau1[[#This Row],[Voltage (V)]]*Tableau1[[#This Row],[Current (A)]]</f>
        <v>0</v>
      </c>
      <c r="Q41" s="3"/>
      <c r="R41" s="3" t="str">
        <f t="shared" si="5"/>
        <v>KO</v>
      </c>
      <c r="S41" s="4">
        <v>0.9</v>
      </c>
      <c r="T41" s="3"/>
      <c r="U41" s="3"/>
      <c r="V41" s="3" t="str">
        <f t="shared" si="3"/>
        <v>KO</v>
      </c>
    </row>
  </sheetData>
  <conditionalFormatting sqref="F2:V41">
    <cfRule type="containsText" dxfId="18" priority="2" operator="containsText" text="KO">
      <formula>NOT(ISERROR(SEARCH("KO",F2)))</formula>
    </cfRule>
  </conditionalFormatting>
  <conditionalFormatting sqref="F2:V41">
    <cfRule type="containsText" dxfId="17" priority="1" operator="containsText" text="OK">
      <formula>NOT(ISERROR(SEARCH("OK",F2)))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2026-01-31T13:11:45Z</dcterms:created>
  <dcterms:modified xsi:type="dcterms:W3CDTF">2026-02-01T16:35:54Z</dcterms:modified>
  <cp:category/>
  <cp:contentStatus/>
</cp:coreProperties>
</file>